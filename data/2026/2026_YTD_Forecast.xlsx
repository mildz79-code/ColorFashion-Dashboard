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YTD +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_);(&quot;$&quot;#,##0);&quot;-&quot;"/>
    <numFmt numFmtId="165" formatCode="0.0%;(0.0%);&quot;-&quot;"/>
  </numFmts>
  <fonts count="9">
    <font>
      <name val="Calibri"/>
      <family val="2"/>
      <color theme="1"/>
      <sz val="11"/>
      <scheme val="minor"/>
    </font>
    <font>
      <name val="Cambria"/>
      <b val="1"/>
      <sz val="14"/>
    </font>
    <font>
      <name val="Cambria"/>
      <i val="1"/>
      <sz val="10"/>
    </font>
    <font>
      <name val="Cambria"/>
      <b val="1"/>
      <color rgb="FFFFFFFF"/>
      <sz val="11"/>
    </font>
    <font>
      <name val="Cambria"/>
      <b val="1"/>
      <i val="1"/>
      <sz val="9"/>
    </font>
    <font>
      <name val="Cambria"/>
      <sz val="10"/>
    </font>
    <font>
      <name val="Cambria"/>
      <b val="1"/>
      <sz val="10"/>
    </font>
    <font>
      <name val="Cambria"/>
      <b val="1"/>
      <sz val="11"/>
    </font>
    <font>
      <name val="Cambria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FEF9E7"/>
      </patternFill>
    </fill>
    <fill>
      <patternFill patternType="solid">
        <fgColor rgb="FFEAF4FC"/>
      </patternFill>
    </fill>
    <fill>
      <patternFill patternType="solid">
        <fgColor rgb="FFD9E1F2"/>
      </patternFill>
    </fill>
    <fill>
      <patternFill patternType="solid">
        <fgColor rgb="FF92D050"/>
      </patternFill>
    </fill>
    <fill>
      <patternFill patternType="solid">
        <fgColor rgb="FF00B05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5" fillId="0" borderId="0" applyAlignment="1" pivotButton="0" quotePrefix="0" xfId="0">
      <alignment horizontal="left" vertical="center"/>
    </xf>
    <xf numFmtId="164" fontId="5" fillId="4" borderId="0" pivotButton="0" quotePrefix="0" xfId="0"/>
    <xf numFmtId="164" fontId="5" fillId="5" borderId="0" pivotButton="0" quotePrefix="0" xfId="0"/>
    <xf numFmtId="164" fontId="5" fillId="6" borderId="0" pivotButton="0" quotePrefix="0" xfId="0"/>
    <xf numFmtId="164" fontId="5" fillId="7" borderId="0" pivotButton="0" quotePrefix="0" xfId="0"/>
    <xf numFmtId="164" fontId="5" fillId="3" borderId="0" pivotButton="0" quotePrefix="0" xfId="0"/>
    <xf numFmtId="0" fontId="6" fillId="8" borderId="0" pivotButton="0" quotePrefix="0" xfId="0"/>
    <xf numFmtId="164" fontId="6" fillId="8" borderId="0" pivotButton="0" quotePrefix="0" xfId="0"/>
    <xf numFmtId="0" fontId="7" fillId="9" borderId="0" pivotButton="0" quotePrefix="0" xfId="0"/>
    <xf numFmtId="164" fontId="7" fillId="9" borderId="0" pivotButton="0" quotePrefix="0" xfId="0"/>
    <xf numFmtId="0" fontId="3" fillId="10" borderId="0" pivotButton="0" quotePrefix="0" xfId="0"/>
    <xf numFmtId="164" fontId="3" fillId="10" borderId="0" pivotButton="0" quotePrefix="0" xfId="0"/>
    <xf numFmtId="0" fontId="8" fillId="2" borderId="0" applyAlignment="1" pivotButton="0" quotePrefix="0" xfId="0">
      <alignment horizontal="left" vertical="center"/>
    </xf>
    <xf numFmtId="0" fontId="5" fillId="0" borderId="0" pivotButton="0" quotePrefix="0" xfId="0"/>
    <xf numFmtId="165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  <col width="13" customWidth="1" min="15" max="15"/>
    <col width="13" customWidth="1" min="16" max="16"/>
    <col width="16" customWidth="1" min="17" max="17"/>
  </cols>
  <sheetData>
    <row r="1" ht="22" customHeight="1">
      <c r="A1" s="1" t="inlineStr">
        <is>
          <t>COLOR FASHION DYE &amp; FINISHING — 2026 YTD Actuals + Forecast</t>
        </is>
      </c>
    </row>
    <row r="2" ht="16" customHeight="1">
      <c r="A2" s="2" t="inlineStr">
        <is>
          <t>Q1 Actuals (Jan–Mar) | Apr–Dec Forecast (blend: Q1 run-rate + Original Budget)</t>
        </is>
      </c>
    </row>
    <row r="3">
      <c r="A3" s="3" t="inlineStr"/>
      <c r="B3" s="4" t="inlineStr"/>
      <c r="C3" s="4" t="inlineStr">
        <is>
          <t>← ACTUALS →</t>
        </is>
      </c>
      <c r="D3" s="4" t="inlineStr"/>
      <c r="E3" s="5" t="inlineStr"/>
      <c r="F3" s="5" t="inlineStr"/>
      <c r="G3" s="5" t="inlineStr"/>
      <c r="H3" s="5" t="inlineStr"/>
      <c r="I3" s="5" t="inlineStr">
        <is>
          <t>← FORECAST →</t>
        </is>
      </c>
      <c r="J3" s="5" t="inlineStr"/>
      <c r="K3" s="5" t="inlineStr"/>
      <c r="L3" s="5" t="inlineStr"/>
      <c r="M3" s="5" t="inlineStr"/>
      <c r="N3" s="3" t="inlineStr"/>
      <c r="O3" s="3" t="inlineStr"/>
      <c r="P3" s="3" t="inlineStr"/>
      <c r="Q3" s="3" t="inlineStr"/>
    </row>
    <row r="4">
      <c r="A4" s="6" t="inlineStr">
        <is>
          <t>Category</t>
        </is>
      </c>
      <c r="B4" s="6" t="inlineStr">
        <is>
          <t>Jan</t>
        </is>
      </c>
      <c r="C4" s="6" t="inlineStr">
        <is>
          <t>Feb</t>
        </is>
      </c>
      <c r="D4" s="6" t="inlineStr">
        <is>
          <t>Mar</t>
        </is>
      </c>
      <c r="E4" s="6" t="inlineStr">
        <is>
          <t>Apr</t>
        </is>
      </c>
      <c r="F4" s="6" t="inlineStr">
        <is>
          <t>May</t>
        </is>
      </c>
      <c r="G4" s="6" t="inlineStr">
        <is>
          <t>Jun</t>
        </is>
      </c>
      <c r="H4" s="6" t="inlineStr">
        <is>
          <t>Jul</t>
        </is>
      </c>
      <c r="I4" s="6" t="inlineStr">
        <is>
          <t>Aug</t>
        </is>
      </c>
      <c r="J4" s="6" t="inlineStr">
        <is>
          <t>Sep</t>
        </is>
      </c>
      <c r="K4" s="6" t="inlineStr">
        <is>
          <t>Oct</t>
        </is>
      </c>
      <c r="L4" s="6" t="inlineStr">
        <is>
          <t>Nov</t>
        </is>
      </c>
      <c r="M4" s="6" t="inlineStr">
        <is>
          <t>Dec</t>
        </is>
      </c>
      <c r="N4" s="6" t="inlineStr">
        <is>
          <t>YTD Actuals</t>
        </is>
      </c>
      <c r="O4" s="6" t="inlineStr">
        <is>
          <t>FY Forecast</t>
        </is>
      </c>
      <c r="P4" s="6" t="inlineStr">
        <is>
          <t>Budget</t>
        </is>
      </c>
      <c r="Q4" s="6" t="inlineStr">
        <is>
          <t>Variance vs Budget</t>
        </is>
      </c>
    </row>
    <row r="5">
      <c r="A5" s="7" t="inlineStr">
        <is>
          <t>REVENUE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</row>
    <row r="6">
      <c r="A6" s="9" t="inlineStr">
        <is>
          <t>Total Revenue (Sales)</t>
        </is>
      </c>
      <c r="B6" s="10" t="n">
        <v>840783.1899999999</v>
      </c>
      <c r="C6" s="10" t="n">
        <v>695332.9399999999</v>
      </c>
      <c r="D6" s="10" t="n">
        <v>985555.2</v>
      </c>
      <c r="E6" s="11">
        <f>AVERAGE(AVERAGE(B6:D6),(P6/12))</f>
        <v/>
      </c>
      <c r="F6" s="11">
        <f>AVERAGE(AVERAGE(B6:D6),(P6/12))</f>
        <v/>
      </c>
      <c r="G6" s="11">
        <f>AVERAGE(AVERAGE(B6:D6),(P6/12))</f>
        <v/>
      </c>
      <c r="H6" s="11">
        <f>AVERAGE(AVERAGE(B6:D6),(P6/12))</f>
        <v/>
      </c>
      <c r="I6" s="11">
        <f>AVERAGE(AVERAGE(B6:D6),(P6/12))</f>
        <v/>
      </c>
      <c r="J6" s="11">
        <f>AVERAGE(AVERAGE(B6:D6),(P6/12))</f>
        <v/>
      </c>
      <c r="K6" s="11">
        <f>AVERAGE(AVERAGE(B6:D6),(P6/12))</f>
        <v/>
      </c>
      <c r="L6" s="11">
        <f>AVERAGE(AVERAGE(B6:D6),(P6/12))</f>
        <v/>
      </c>
      <c r="M6" s="11">
        <f>AVERAGE(AVERAGE(B6:D6),(P6/12))</f>
        <v/>
      </c>
      <c r="N6" s="12">
        <f>SUM(B6:D6)</f>
        <v/>
      </c>
      <c r="O6" s="13">
        <f>SUM(B6:M6)</f>
        <v/>
      </c>
      <c r="P6" s="14" t="n">
        <v>10136160</v>
      </c>
      <c r="Q6" s="14">
        <f>O6-P6</f>
        <v/>
      </c>
    </row>
    <row r="8">
      <c r="A8" s="7" t="inlineStr">
        <is>
          <t>COST OF GOODS SOLD (COGS)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</row>
    <row r="9">
      <c r="A9" s="9" t="inlineStr">
        <is>
          <t>Direct Labor - Samuel Hale</t>
        </is>
      </c>
      <c r="B9" s="10" t="n">
        <v>191611.88</v>
      </c>
      <c r="C9" s="10" t="n">
        <v>235575.85</v>
      </c>
      <c r="D9" s="10" t="n">
        <v>229361.64</v>
      </c>
      <c r="E9" s="11">
        <f>AVERAGE(AVERAGE(B9:D9),(P9/12))</f>
        <v/>
      </c>
      <c r="F9" s="11">
        <f>AVERAGE(AVERAGE(B9:D9),(P9/12))</f>
        <v/>
      </c>
      <c r="G9" s="11">
        <f>AVERAGE(AVERAGE(B9:D9),(P9/12))</f>
        <v/>
      </c>
      <c r="H9" s="11">
        <f>AVERAGE(AVERAGE(B9:D9),(P9/12))</f>
        <v/>
      </c>
      <c r="I9" s="11">
        <f>AVERAGE(AVERAGE(B9:D9),(P9/12))</f>
        <v/>
      </c>
      <c r="J9" s="11">
        <f>AVERAGE(AVERAGE(B9:D9),(P9/12))</f>
        <v/>
      </c>
      <c r="K9" s="11">
        <f>AVERAGE(AVERAGE(B9:D9),(P9/12))</f>
        <v/>
      </c>
      <c r="L9" s="11">
        <f>AVERAGE(AVERAGE(B9:D9),(P9/12))</f>
        <v/>
      </c>
      <c r="M9" s="11">
        <f>AVERAGE(AVERAGE(B9:D9),(P9/12))</f>
        <v/>
      </c>
      <c r="N9" s="12">
        <f>SUM(B9:D9)</f>
        <v/>
      </c>
      <c r="O9" s="13">
        <f>SUM(B9:M9)</f>
        <v/>
      </c>
      <c r="P9" s="14" t="n">
        <v>2299344</v>
      </c>
      <c r="Q9" s="14">
        <f>O9-P9</f>
        <v/>
      </c>
    </row>
    <row r="10">
      <c r="A10" s="9" t="inlineStr">
        <is>
          <t>Direct Labor - Workforce</t>
        </is>
      </c>
      <c r="B10" s="10" t="n">
        <v>13152.83</v>
      </c>
      <c r="C10" s="10" t="n">
        <v>18161.51</v>
      </c>
      <c r="D10" s="10" t="n">
        <v>18863.16</v>
      </c>
      <c r="E10" s="11">
        <f>AVERAGE(AVERAGE(B10:D10),(P10/12))</f>
        <v/>
      </c>
      <c r="F10" s="11">
        <f>AVERAGE(AVERAGE(B10:D10),(P10/12))</f>
        <v/>
      </c>
      <c r="G10" s="11">
        <f>AVERAGE(AVERAGE(B10:D10),(P10/12))</f>
        <v/>
      </c>
      <c r="H10" s="11">
        <f>AVERAGE(AVERAGE(B10:D10),(P10/12))</f>
        <v/>
      </c>
      <c r="I10" s="11">
        <f>AVERAGE(AVERAGE(B10:D10),(P10/12))</f>
        <v/>
      </c>
      <c r="J10" s="11">
        <f>AVERAGE(AVERAGE(B10:D10),(P10/12))</f>
        <v/>
      </c>
      <c r="K10" s="11">
        <f>AVERAGE(AVERAGE(B10:D10),(P10/12))</f>
        <v/>
      </c>
      <c r="L10" s="11">
        <f>AVERAGE(AVERAGE(B10:D10),(P10/12))</f>
        <v/>
      </c>
      <c r="M10" s="11">
        <f>AVERAGE(AVERAGE(B10:D10),(P10/12))</f>
        <v/>
      </c>
      <c r="N10" s="12">
        <f>SUM(B10:D10)</f>
        <v/>
      </c>
      <c r="O10" s="13">
        <f>SUM(B10:M10)</f>
        <v/>
      </c>
      <c r="P10" s="14" t="n">
        <v>157836</v>
      </c>
      <c r="Q10" s="14">
        <f>O10-P10</f>
        <v/>
      </c>
    </row>
    <row r="11">
      <c r="A11" s="9" t="inlineStr">
        <is>
          <t>Payroll - Other</t>
        </is>
      </c>
      <c r="B11" s="10" t="n">
        <v>1125.56</v>
      </c>
      <c r="C11" s="10" t="n">
        <v>750.38</v>
      </c>
      <c r="D11" s="10" t="n">
        <v>0</v>
      </c>
      <c r="E11" s="11">
        <f>AVERAGE(AVERAGE(B11:D11),(P11/12))</f>
        <v/>
      </c>
      <c r="F11" s="11">
        <f>AVERAGE(AVERAGE(B11:D11),(P11/12))</f>
        <v/>
      </c>
      <c r="G11" s="11">
        <f>AVERAGE(AVERAGE(B11:D11),(P11/12))</f>
        <v/>
      </c>
      <c r="H11" s="11">
        <f>AVERAGE(AVERAGE(B11:D11),(P11/12))</f>
        <v/>
      </c>
      <c r="I11" s="11">
        <f>AVERAGE(AVERAGE(B11:D11),(P11/12))</f>
        <v/>
      </c>
      <c r="J11" s="11">
        <f>AVERAGE(AVERAGE(B11:D11),(P11/12))</f>
        <v/>
      </c>
      <c r="K11" s="11">
        <f>AVERAGE(AVERAGE(B11:D11),(P11/12))</f>
        <v/>
      </c>
      <c r="L11" s="11">
        <f>AVERAGE(AVERAGE(B11:D11),(P11/12))</f>
        <v/>
      </c>
      <c r="M11" s="11">
        <f>AVERAGE(AVERAGE(B11:D11),(P11/12))</f>
        <v/>
      </c>
      <c r="N11" s="12">
        <f>SUM(B11:D11)</f>
        <v/>
      </c>
      <c r="O11" s="13">
        <f>SUM(B11:M11)</f>
        <v/>
      </c>
      <c r="P11" s="14" t="n">
        <v>13512</v>
      </c>
      <c r="Q11" s="14">
        <f>O11-P11</f>
        <v/>
      </c>
    </row>
    <row r="12">
      <c r="A12" s="9" t="inlineStr">
        <is>
          <t>Chemical &amp; Dyestuffs</t>
        </is>
      </c>
      <c r="B12" s="10" t="n">
        <v>131330.77</v>
      </c>
      <c r="C12" s="10" t="n">
        <v>96354.46000000001</v>
      </c>
      <c r="D12" s="10" t="n">
        <v>163489.39</v>
      </c>
      <c r="E12" s="11">
        <f>AVERAGE(AVERAGE(B12:D12),(P12/12))</f>
        <v/>
      </c>
      <c r="F12" s="11">
        <f>AVERAGE(AVERAGE(B12:D12),(P12/12))</f>
        <v/>
      </c>
      <c r="G12" s="11">
        <f>AVERAGE(AVERAGE(B12:D12),(P12/12))</f>
        <v/>
      </c>
      <c r="H12" s="11">
        <f>AVERAGE(AVERAGE(B12:D12),(P12/12))</f>
        <v/>
      </c>
      <c r="I12" s="11">
        <f>AVERAGE(AVERAGE(B12:D12),(P12/12))</f>
        <v/>
      </c>
      <c r="J12" s="11">
        <f>AVERAGE(AVERAGE(B12:D12),(P12/12))</f>
        <v/>
      </c>
      <c r="K12" s="11">
        <f>AVERAGE(AVERAGE(B12:D12),(P12/12))</f>
        <v/>
      </c>
      <c r="L12" s="11">
        <f>AVERAGE(AVERAGE(B12:D12),(P12/12))</f>
        <v/>
      </c>
      <c r="M12" s="11">
        <f>AVERAGE(AVERAGE(B12:D12),(P12/12))</f>
        <v/>
      </c>
      <c r="N12" s="12">
        <f>SUM(B12:D12)</f>
        <v/>
      </c>
      <c r="O12" s="13">
        <f>SUM(B12:M12)</f>
        <v/>
      </c>
      <c r="P12" s="14" t="n">
        <v>1253352</v>
      </c>
      <c r="Q12" s="14">
        <f>O12-P12</f>
        <v/>
      </c>
    </row>
    <row r="13">
      <c r="A13" s="9" t="inlineStr">
        <is>
          <t>Finishing Supplies - Paper Tube</t>
        </is>
      </c>
      <c r="B13" s="10" t="n">
        <v>7667.35</v>
      </c>
      <c r="C13" s="10" t="n">
        <v>0</v>
      </c>
      <c r="D13" s="10" t="n">
        <v>0</v>
      </c>
      <c r="E13" s="11">
        <f>AVERAGE(AVERAGE(B13:D13),(P13/12))</f>
        <v/>
      </c>
      <c r="F13" s="11">
        <f>AVERAGE(AVERAGE(B13:D13),(P13/12))</f>
        <v/>
      </c>
      <c r="G13" s="11">
        <f>AVERAGE(AVERAGE(B13:D13),(P13/12))</f>
        <v/>
      </c>
      <c r="H13" s="11">
        <f>AVERAGE(AVERAGE(B13:D13),(P13/12))</f>
        <v/>
      </c>
      <c r="I13" s="11">
        <f>AVERAGE(AVERAGE(B13:D13),(P13/12))</f>
        <v/>
      </c>
      <c r="J13" s="11">
        <f>AVERAGE(AVERAGE(B13:D13),(P13/12))</f>
        <v/>
      </c>
      <c r="K13" s="11">
        <f>AVERAGE(AVERAGE(B13:D13),(P13/12))</f>
        <v/>
      </c>
      <c r="L13" s="11">
        <f>AVERAGE(AVERAGE(B13:D13),(P13/12))</f>
        <v/>
      </c>
      <c r="M13" s="11">
        <f>AVERAGE(AVERAGE(B13:D13),(P13/12))</f>
        <v/>
      </c>
      <c r="N13" s="12">
        <f>SUM(B13:D13)</f>
        <v/>
      </c>
      <c r="O13" s="13">
        <f>SUM(B13:M13)</f>
        <v/>
      </c>
      <c r="P13" s="14" t="n">
        <v>92004</v>
      </c>
      <c r="Q13" s="14">
        <f>O13-P13</f>
        <v/>
      </c>
    </row>
    <row r="14">
      <c r="A14" s="9" t="inlineStr">
        <is>
          <t>Finishing Supplies - Poly Bags</t>
        </is>
      </c>
      <c r="B14" s="10" t="n">
        <v>0</v>
      </c>
      <c r="C14" s="10" t="n">
        <v>11650</v>
      </c>
      <c r="D14" s="10" t="n">
        <v>2225</v>
      </c>
      <c r="E14" s="11">
        <f>AVERAGE(B14:D14)</f>
        <v/>
      </c>
      <c r="F14" s="11">
        <f>AVERAGE(B14:D14)</f>
        <v/>
      </c>
      <c r="G14" s="11">
        <f>AVERAGE(B14:D14)</f>
        <v/>
      </c>
      <c r="H14" s="11">
        <f>AVERAGE(B14:D14)</f>
        <v/>
      </c>
      <c r="I14" s="11">
        <f>AVERAGE(B14:D14)</f>
        <v/>
      </c>
      <c r="J14" s="11">
        <f>AVERAGE(B14:D14)</f>
        <v/>
      </c>
      <c r="K14" s="11">
        <f>AVERAGE(B14:D14)</f>
        <v/>
      </c>
      <c r="L14" s="11">
        <f>AVERAGE(B14:D14)</f>
        <v/>
      </c>
      <c r="M14" s="11">
        <f>AVERAGE(B14:D14)</f>
        <v/>
      </c>
      <c r="N14" s="12">
        <f>SUM(B14:D14)</f>
        <v/>
      </c>
      <c r="O14" s="13">
        <f>SUM(B14:M14)</f>
        <v/>
      </c>
      <c r="P14" s="14" t="n">
        <v>0</v>
      </c>
      <c r="Q14" s="14">
        <f>O14-P14</f>
        <v/>
      </c>
    </row>
    <row r="15">
      <c r="A15" s="9" t="inlineStr">
        <is>
          <t>Lab Supplies (Testing)</t>
        </is>
      </c>
      <c r="B15" s="10" t="n">
        <v>1365</v>
      </c>
      <c r="C15" s="10" t="n">
        <v>1185</v>
      </c>
      <c r="D15" s="10" t="n">
        <v>1185</v>
      </c>
      <c r="E15" s="11">
        <f>AVERAGE(AVERAGE(B15:D15),(P15/12))</f>
        <v/>
      </c>
      <c r="F15" s="11">
        <f>AVERAGE(AVERAGE(B15:D15),(P15/12))</f>
        <v/>
      </c>
      <c r="G15" s="11">
        <f>AVERAGE(AVERAGE(B15:D15),(P15/12))</f>
        <v/>
      </c>
      <c r="H15" s="11">
        <f>AVERAGE(AVERAGE(B15:D15),(P15/12))</f>
        <v/>
      </c>
      <c r="I15" s="11">
        <f>AVERAGE(AVERAGE(B15:D15),(P15/12))</f>
        <v/>
      </c>
      <c r="J15" s="11">
        <f>AVERAGE(AVERAGE(B15:D15),(P15/12))</f>
        <v/>
      </c>
      <c r="K15" s="11">
        <f>AVERAGE(AVERAGE(B15:D15),(P15/12))</f>
        <v/>
      </c>
      <c r="L15" s="11">
        <f>AVERAGE(AVERAGE(B15:D15),(P15/12))</f>
        <v/>
      </c>
      <c r="M15" s="11">
        <f>AVERAGE(AVERAGE(B15:D15),(P15/12))</f>
        <v/>
      </c>
      <c r="N15" s="12">
        <f>SUM(B15:D15)</f>
        <v/>
      </c>
      <c r="O15" s="13">
        <f>SUM(B15:M15)</f>
        <v/>
      </c>
      <c r="P15" s="14" t="n">
        <v>16380</v>
      </c>
      <c r="Q15" s="14">
        <f>O15-P15</f>
        <v/>
      </c>
    </row>
    <row r="16">
      <c r="A16" s="9" t="inlineStr">
        <is>
          <t>Plant Supplies &amp; Parts</t>
        </is>
      </c>
      <c r="B16" s="10" t="n">
        <v>7529.41</v>
      </c>
      <c r="C16" s="10" t="n">
        <v>4504.22</v>
      </c>
      <c r="D16" s="10" t="n">
        <v>4358.36</v>
      </c>
      <c r="E16" s="11">
        <f>AVERAGE(AVERAGE(B16:D16),(P16/12))</f>
        <v/>
      </c>
      <c r="F16" s="11">
        <f>AVERAGE(AVERAGE(B16:D16),(P16/12))</f>
        <v/>
      </c>
      <c r="G16" s="11">
        <f>AVERAGE(AVERAGE(B16:D16),(P16/12))</f>
        <v/>
      </c>
      <c r="H16" s="11">
        <f>AVERAGE(AVERAGE(B16:D16),(P16/12))</f>
        <v/>
      </c>
      <c r="I16" s="11">
        <f>AVERAGE(AVERAGE(B16:D16),(P16/12))</f>
        <v/>
      </c>
      <c r="J16" s="11">
        <f>AVERAGE(AVERAGE(B16:D16),(P16/12))</f>
        <v/>
      </c>
      <c r="K16" s="11">
        <f>AVERAGE(AVERAGE(B16:D16),(P16/12))</f>
        <v/>
      </c>
      <c r="L16" s="11">
        <f>AVERAGE(AVERAGE(B16:D16),(P16/12))</f>
        <v/>
      </c>
      <c r="M16" s="11">
        <f>AVERAGE(AVERAGE(B16:D16),(P16/12))</f>
        <v/>
      </c>
      <c r="N16" s="12">
        <f>SUM(B16:D16)</f>
        <v/>
      </c>
      <c r="O16" s="13">
        <f>SUM(B16:M16)</f>
        <v/>
      </c>
      <c r="P16" s="14" t="n">
        <v>90348</v>
      </c>
      <c r="Q16" s="14">
        <f>O16-P16</f>
        <v/>
      </c>
    </row>
    <row r="17">
      <c r="A17" s="9" t="inlineStr">
        <is>
          <t>Freight and Shipping Costs</t>
        </is>
      </c>
      <c r="B17" s="10" t="n">
        <v>3850</v>
      </c>
      <c r="C17" s="10" t="n">
        <v>2787.4</v>
      </c>
      <c r="D17" s="10" t="n">
        <v>0</v>
      </c>
      <c r="E17" s="11">
        <f>AVERAGE(AVERAGE(B17:D17),(P17/12))</f>
        <v/>
      </c>
      <c r="F17" s="11">
        <f>AVERAGE(AVERAGE(B17:D17),(P17/12))</f>
        <v/>
      </c>
      <c r="G17" s="11">
        <f>AVERAGE(AVERAGE(B17:D17),(P17/12))</f>
        <v/>
      </c>
      <c r="H17" s="11">
        <f>AVERAGE(AVERAGE(B17:D17),(P17/12))</f>
        <v/>
      </c>
      <c r="I17" s="11">
        <f>AVERAGE(AVERAGE(B17:D17),(P17/12))</f>
        <v/>
      </c>
      <c r="J17" s="11">
        <f>AVERAGE(AVERAGE(B17:D17),(P17/12))</f>
        <v/>
      </c>
      <c r="K17" s="11">
        <f>AVERAGE(AVERAGE(B17:D17),(P17/12))</f>
        <v/>
      </c>
      <c r="L17" s="11">
        <f>AVERAGE(AVERAGE(B17:D17),(P17/12))</f>
        <v/>
      </c>
      <c r="M17" s="11">
        <f>AVERAGE(AVERAGE(B17:D17),(P17/12))</f>
        <v/>
      </c>
      <c r="N17" s="12">
        <f>SUM(B17:D17)</f>
        <v/>
      </c>
      <c r="O17" s="13">
        <f>SUM(B17:M17)</f>
        <v/>
      </c>
      <c r="P17" s="14" t="n">
        <v>46200</v>
      </c>
      <c r="Q17" s="14">
        <f>O17-P17</f>
        <v/>
      </c>
    </row>
    <row r="18">
      <c r="A18" s="9" t="inlineStr">
        <is>
          <t>Truck Repair</t>
        </is>
      </c>
      <c r="B18" s="10" t="n">
        <v>560</v>
      </c>
      <c r="C18" s="10" t="n">
        <v>0</v>
      </c>
      <c r="D18" s="10" t="n">
        <v>0</v>
      </c>
      <c r="E18" s="11">
        <f>AVERAGE(AVERAGE(B18:D18),(P18/12))</f>
        <v/>
      </c>
      <c r="F18" s="11">
        <f>AVERAGE(AVERAGE(B18:D18),(P18/12))</f>
        <v/>
      </c>
      <c r="G18" s="11">
        <f>AVERAGE(AVERAGE(B18:D18),(P18/12))</f>
        <v/>
      </c>
      <c r="H18" s="11">
        <f>AVERAGE(AVERAGE(B18:D18),(P18/12))</f>
        <v/>
      </c>
      <c r="I18" s="11">
        <f>AVERAGE(AVERAGE(B18:D18),(P18/12))</f>
        <v/>
      </c>
      <c r="J18" s="11">
        <f>AVERAGE(AVERAGE(B18:D18),(P18/12))</f>
        <v/>
      </c>
      <c r="K18" s="11">
        <f>AVERAGE(AVERAGE(B18:D18),(P18/12))</f>
        <v/>
      </c>
      <c r="L18" s="11">
        <f>AVERAGE(AVERAGE(B18:D18),(P18/12))</f>
        <v/>
      </c>
      <c r="M18" s="11">
        <f>AVERAGE(AVERAGE(B18:D18),(P18/12))</f>
        <v/>
      </c>
      <c r="N18" s="12">
        <f>SUM(B18:D18)</f>
        <v/>
      </c>
      <c r="O18" s="13">
        <f>SUM(B18:M18)</f>
        <v/>
      </c>
      <c r="P18" s="14" t="n">
        <v>6720</v>
      </c>
      <c r="Q18" s="14">
        <f>O18-P18</f>
        <v/>
      </c>
    </row>
    <row r="19">
      <c r="A19" s="9" t="inlineStr">
        <is>
          <t>Insurance - Liability &amp; Property</t>
        </is>
      </c>
      <c r="B19" s="10" t="n">
        <v>2692.19</v>
      </c>
      <c r="C19" s="10" t="n">
        <v>2692.19</v>
      </c>
      <c r="D19" s="10" t="n">
        <v>0</v>
      </c>
      <c r="E19" s="11">
        <f>AVERAGE(AVERAGE(B19:D19),(P19/12))</f>
        <v/>
      </c>
      <c r="F19" s="11">
        <f>AVERAGE(AVERAGE(B19:D19),(P19/12))</f>
        <v/>
      </c>
      <c r="G19" s="11">
        <f>AVERAGE(AVERAGE(B19:D19),(P19/12))</f>
        <v/>
      </c>
      <c r="H19" s="11">
        <f>AVERAGE(AVERAGE(B19:D19),(P19/12))</f>
        <v/>
      </c>
      <c r="I19" s="11">
        <f>AVERAGE(AVERAGE(B19:D19),(P19/12))</f>
        <v/>
      </c>
      <c r="J19" s="11">
        <f>AVERAGE(AVERAGE(B19:D19),(P19/12))</f>
        <v/>
      </c>
      <c r="K19" s="11">
        <f>AVERAGE(AVERAGE(B19:D19),(P19/12))</f>
        <v/>
      </c>
      <c r="L19" s="11">
        <f>AVERAGE(AVERAGE(B19:D19),(P19/12))</f>
        <v/>
      </c>
      <c r="M19" s="11">
        <f>AVERAGE(AVERAGE(B19:D19),(P19/12))</f>
        <v/>
      </c>
      <c r="N19" s="12">
        <f>SUM(B19:D19)</f>
        <v/>
      </c>
      <c r="O19" s="13">
        <f>SUM(B19:M19)</f>
        <v/>
      </c>
      <c r="P19" s="14" t="n">
        <v>32304</v>
      </c>
      <c r="Q19" s="14">
        <f>O19-P19</f>
        <v/>
      </c>
    </row>
    <row r="20">
      <c r="A20" s="9" t="inlineStr">
        <is>
          <t>Utilities - Electricity</t>
        </is>
      </c>
      <c r="B20" s="10" t="n">
        <v>55228.47</v>
      </c>
      <c r="C20" s="10" t="n">
        <v>45233.79</v>
      </c>
      <c r="D20" s="10" t="n">
        <v>53560.53</v>
      </c>
      <c r="E20" s="11">
        <f>AVERAGE(B20:D20)</f>
        <v/>
      </c>
      <c r="F20" s="11">
        <f>AVERAGE(B20:D20)</f>
        <v/>
      </c>
      <c r="G20" s="11">
        <f>AVERAGE(B20:D20)</f>
        <v/>
      </c>
      <c r="H20" s="11">
        <f>AVERAGE(B20:D20)</f>
        <v/>
      </c>
      <c r="I20" s="11">
        <f>AVERAGE(B20:D20)</f>
        <v/>
      </c>
      <c r="J20" s="11">
        <f>AVERAGE(B20:D20)</f>
        <v/>
      </c>
      <c r="K20" s="11">
        <f>AVERAGE(B20:D20)</f>
        <v/>
      </c>
      <c r="L20" s="11">
        <f>AVERAGE(B20:D20)</f>
        <v/>
      </c>
      <c r="M20" s="11">
        <f>AVERAGE(B20:D20)</f>
        <v/>
      </c>
      <c r="N20" s="12">
        <f>SUM(B20:D20)</f>
        <v/>
      </c>
      <c r="O20" s="13">
        <f>SUM(B20:M20)</f>
        <v/>
      </c>
      <c r="P20" s="14" t="n">
        <v>0</v>
      </c>
      <c r="Q20" s="14">
        <f>O20-P20</f>
        <v/>
      </c>
    </row>
    <row r="21">
      <c r="A21" s="9" t="inlineStr">
        <is>
          <t>Utilities - Gas</t>
        </is>
      </c>
      <c r="B21" s="10" t="n">
        <v>92141.62</v>
      </c>
      <c r="C21" s="10" t="n">
        <v>84193.89999999999</v>
      </c>
      <c r="D21" s="10" t="n">
        <v>72248.75999999999</v>
      </c>
      <c r="E21" s="11">
        <f>AVERAGE(AVERAGE(B21:D21),(P21/12))</f>
        <v/>
      </c>
      <c r="F21" s="11">
        <f>AVERAGE(AVERAGE(B21:D21),(P21/12))</f>
        <v/>
      </c>
      <c r="G21" s="11">
        <f>AVERAGE(AVERAGE(B21:D21),(P21/12))</f>
        <v/>
      </c>
      <c r="H21" s="11">
        <f>AVERAGE(AVERAGE(B21:D21),(P21/12))</f>
        <v/>
      </c>
      <c r="I21" s="11">
        <f>AVERAGE(AVERAGE(B21:D21),(P21/12))</f>
        <v/>
      </c>
      <c r="J21" s="11">
        <f>AVERAGE(AVERAGE(B21:D21),(P21/12))</f>
        <v/>
      </c>
      <c r="K21" s="11">
        <f>AVERAGE(AVERAGE(B21:D21),(P21/12))</f>
        <v/>
      </c>
      <c r="L21" s="11">
        <f>AVERAGE(AVERAGE(B21:D21),(P21/12))</f>
        <v/>
      </c>
      <c r="M21" s="11">
        <f>AVERAGE(AVERAGE(B21:D21),(P21/12))</f>
        <v/>
      </c>
      <c r="N21" s="12">
        <f>SUM(B21:D21)</f>
        <v/>
      </c>
      <c r="O21" s="13">
        <f>SUM(B21:M21)</f>
        <v/>
      </c>
      <c r="P21" s="14" t="n">
        <v>591060</v>
      </c>
      <c r="Q21" s="14">
        <f>O21-P21</f>
        <v/>
      </c>
    </row>
    <row r="22">
      <c r="A22" s="9" t="inlineStr">
        <is>
          <t>Utilities - Water</t>
        </is>
      </c>
      <c r="B22" s="10" t="n">
        <v>26831.41</v>
      </c>
      <c r="C22" s="10" t="n">
        <v>26729.14</v>
      </c>
      <c r="D22" s="10" t="n">
        <v>33721.74</v>
      </c>
      <c r="E22" s="11">
        <f>AVERAGE(AVERAGE(B22:D22),(P22/12))</f>
        <v/>
      </c>
      <c r="F22" s="11">
        <f>AVERAGE(AVERAGE(B22:D22),(P22/12))</f>
        <v/>
      </c>
      <c r="G22" s="11">
        <f>AVERAGE(AVERAGE(B22:D22),(P22/12))</f>
        <v/>
      </c>
      <c r="H22" s="11">
        <f>AVERAGE(AVERAGE(B22:D22),(P22/12))</f>
        <v/>
      </c>
      <c r="I22" s="11">
        <f>AVERAGE(AVERAGE(B22:D22),(P22/12))</f>
        <v/>
      </c>
      <c r="J22" s="11">
        <f>AVERAGE(AVERAGE(B22:D22),(P22/12))</f>
        <v/>
      </c>
      <c r="K22" s="11">
        <f>AVERAGE(AVERAGE(B22:D22),(P22/12))</f>
        <v/>
      </c>
      <c r="L22" s="11">
        <f>AVERAGE(AVERAGE(B22:D22),(P22/12))</f>
        <v/>
      </c>
      <c r="M22" s="11">
        <f>AVERAGE(AVERAGE(B22:D22),(P22/12))</f>
        <v/>
      </c>
      <c r="N22" s="12">
        <f>SUM(B22:D22)</f>
        <v/>
      </c>
      <c r="O22" s="13">
        <f>SUM(B22:M22)</f>
        <v/>
      </c>
      <c r="P22" s="14" t="n">
        <v>311856</v>
      </c>
      <c r="Q22" s="14">
        <f>O22-P22</f>
        <v/>
      </c>
    </row>
    <row r="23">
      <c r="A23" s="9" t="inlineStr">
        <is>
          <t>Utilities - Wastewater</t>
        </is>
      </c>
      <c r="B23" s="10" t="n">
        <v>19618.92</v>
      </c>
      <c r="C23" s="10" t="n">
        <v>19618.92</v>
      </c>
      <c r="D23" s="10" t="n">
        <v>19618.92</v>
      </c>
      <c r="E23" s="11">
        <f>AVERAGE(B23:D23)</f>
        <v/>
      </c>
      <c r="F23" s="11">
        <f>AVERAGE(B23:D23)</f>
        <v/>
      </c>
      <c r="G23" s="11">
        <f>AVERAGE(B23:D23)</f>
        <v/>
      </c>
      <c r="H23" s="11">
        <f>AVERAGE(B23:D23)</f>
        <v/>
      </c>
      <c r="I23" s="11">
        <f>AVERAGE(B23:D23)</f>
        <v/>
      </c>
      <c r="J23" s="11">
        <f>AVERAGE(B23:D23)</f>
        <v/>
      </c>
      <c r="K23" s="11">
        <f>AVERAGE(B23:D23)</f>
        <v/>
      </c>
      <c r="L23" s="11">
        <f>AVERAGE(B23:D23)</f>
        <v/>
      </c>
      <c r="M23" s="11">
        <f>AVERAGE(B23:D23)</f>
        <v/>
      </c>
      <c r="N23" s="12">
        <f>SUM(B23:D23)</f>
        <v/>
      </c>
      <c r="O23" s="13">
        <f>SUM(B23:M23)</f>
        <v/>
      </c>
      <c r="P23" s="14" t="n">
        <v>0</v>
      </c>
      <c r="Q23" s="14">
        <f>O23-P23</f>
        <v/>
      </c>
    </row>
    <row r="24">
      <c r="A24" s="9" t="inlineStr">
        <is>
          <t>Knitting</t>
        </is>
      </c>
      <c r="B24" s="10" t="n">
        <v>0</v>
      </c>
      <c r="C24" s="10" t="n">
        <v>0</v>
      </c>
      <c r="D24" s="10" t="n">
        <v>1514.46</v>
      </c>
      <c r="E24" s="11">
        <f>AVERAGE(B24:D24)</f>
        <v/>
      </c>
      <c r="F24" s="11">
        <f>AVERAGE(B24:D24)</f>
        <v/>
      </c>
      <c r="G24" s="11">
        <f>AVERAGE(B24:D24)</f>
        <v/>
      </c>
      <c r="H24" s="11">
        <f>AVERAGE(B24:D24)</f>
        <v/>
      </c>
      <c r="I24" s="11">
        <f>AVERAGE(B24:D24)</f>
        <v/>
      </c>
      <c r="J24" s="11">
        <f>AVERAGE(B24:D24)</f>
        <v/>
      </c>
      <c r="K24" s="11">
        <f>AVERAGE(B24:D24)</f>
        <v/>
      </c>
      <c r="L24" s="11">
        <f>AVERAGE(B24:D24)</f>
        <v/>
      </c>
      <c r="M24" s="11">
        <f>AVERAGE(B24:D24)</f>
        <v/>
      </c>
      <c r="N24" s="12">
        <f>SUM(B24:D24)</f>
        <v/>
      </c>
      <c r="O24" s="13">
        <f>SUM(B24:M24)</f>
        <v/>
      </c>
      <c r="P24" s="14" t="n">
        <v>0</v>
      </c>
      <c r="Q24" s="14">
        <f>O24-P24</f>
        <v/>
      </c>
    </row>
    <row r="25">
      <c r="A25" s="15" t="inlineStr">
        <is>
          <t>Total COGS</t>
        </is>
      </c>
      <c r="B25" s="16">
        <f>SUM(B9,B10,B11,B12,B13,B14,B15,B16,B17,B18,B19,B20,B21,B22,B23,B24)</f>
        <v/>
      </c>
      <c r="C25" s="16">
        <f>SUM(C9,C10,C11,C12,C13,C14,C15,C16,C17,C18,C19,C20,C21,C22,C23,C24)</f>
        <v/>
      </c>
      <c r="D25" s="16">
        <f>SUM(D9,D10,D11,D12,D13,D14,D15,D16,D17,D18,D19,D20,D21,D22,D23,D24)</f>
        <v/>
      </c>
      <c r="E25" s="16">
        <f>SUM(E9,E10,E11,E12,E13,E14,E15,E16,E17,E18,E19,E20,E21,E22,E23,E24)</f>
        <v/>
      </c>
      <c r="F25" s="16">
        <f>SUM(F9,F10,F11,F12,F13,F14,F15,F16,F17,F18,F19,F20,F21,F22,F23,F24)</f>
        <v/>
      </c>
      <c r="G25" s="16">
        <f>SUM(G9,G10,G11,G12,G13,G14,G15,G16,G17,G18,G19,G20,G21,G22,G23,G24)</f>
        <v/>
      </c>
      <c r="H25" s="16">
        <f>SUM(H9,H10,H11,H12,H13,H14,H15,H16,H17,H18,H19,H20,H21,H22,H23,H24)</f>
        <v/>
      </c>
      <c r="I25" s="16">
        <f>SUM(I9,I10,I11,I12,I13,I14,I15,I16,I17,I18,I19,I20,I21,I22,I23,I24)</f>
        <v/>
      </c>
      <c r="J25" s="16">
        <f>SUM(J9,J10,J11,J12,J13,J14,J15,J16,J17,J18,J19,J20,J21,J22,J23,J24)</f>
        <v/>
      </c>
      <c r="K25" s="16">
        <f>SUM(K9,K10,K11,K12,K13,K14,K15,K16,K17,K18,K19,K20,K21,K22,K23,K24)</f>
        <v/>
      </c>
      <c r="L25" s="16">
        <f>SUM(L9,L10,L11,L12,L13,L14,L15,L16,L17,L18,L19,L20,L21,L22,L23,L24)</f>
        <v/>
      </c>
      <c r="M25" s="16">
        <f>SUM(M9,M10,M11,M12,M13,M14,M15,M16,M17,M18,M19,M20,M21,M22,M23,M24)</f>
        <v/>
      </c>
      <c r="N25" s="16">
        <f>SUM(N9,N10,N11,N12,N13,N14,N15,N16,N17,N18,N19,N20,N21,N22,N23,N24)</f>
        <v/>
      </c>
      <c r="O25" s="16">
        <f>SUM(O9,O10,O11,O12,O13,O14,O15,O16,O17,O18,O19,O20,O21,O22,O23,O24)</f>
        <v/>
      </c>
      <c r="P25" s="16">
        <f>SUM(P9,P10,P11,P12,P13,P14,P15,P16,P17,P18,P19,P20,P21,P22,P23,P24)</f>
        <v/>
      </c>
      <c r="Q25" s="16">
        <f>SUM(Q9,Q10,Q11,Q12,Q13,Q14,Q15,Q16,Q17,Q18,Q19,Q20,Q21,Q22,Q23,Q24)</f>
        <v/>
      </c>
    </row>
    <row r="27">
      <c r="A27" s="17" t="inlineStr">
        <is>
          <t>GROSS PROFIT</t>
        </is>
      </c>
      <c r="B27" s="18">
        <f>B6-B25</f>
        <v/>
      </c>
      <c r="C27" s="18">
        <f>C6-C25</f>
        <v/>
      </c>
      <c r="D27" s="18">
        <f>D6-D25</f>
        <v/>
      </c>
      <c r="E27" s="18">
        <f>E6-E25</f>
        <v/>
      </c>
      <c r="F27" s="18">
        <f>F6-F25</f>
        <v/>
      </c>
      <c r="G27" s="18">
        <f>G6-G25</f>
        <v/>
      </c>
      <c r="H27" s="18">
        <f>H6-H25</f>
        <v/>
      </c>
      <c r="I27" s="18">
        <f>I6-I25</f>
        <v/>
      </c>
      <c r="J27" s="18">
        <f>J6-J25</f>
        <v/>
      </c>
      <c r="K27" s="18">
        <f>K6-K25</f>
        <v/>
      </c>
      <c r="L27" s="18">
        <f>L6-L25</f>
        <v/>
      </c>
      <c r="M27" s="18">
        <f>M6-M25</f>
        <v/>
      </c>
      <c r="N27" s="18">
        <f>N6-N25</f>
        <v/>
      </c>
      <c r="O27" s="18">
        <f>O6-O25</f>
        <v/>
      </c>
      <c r="P27" s="18">
        <f>P6-P25</f>
        <v/>
      </c>
      <c r="Q27" s="18">
        <f>Q6-Q25</f>
        <v/>
      </c>
    </row>
    <row r="29">
      <c r="A29" s="7" t="inlineStr">
        <is>
          <t>OPERATING EXPENSES</t>
        </is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</row>
    <row r="30">
      <c r="A30" s="9" t="inlineStr">
        <is>
          <t>Payroll Expenses (Admin)</t>
        </is>
      </c>
      <c r="B30" s="10" t="n">
        <v>57800</v>
      </c>
      <c r="C30" s="10" t="n">
        <v>43330.92</v>
      </c>
      <c r="D30" s="10" t="n">
        <v>43330.92</v>
      </c>
      <c r="E30" s="11">
        <f>AVERAGE(AVERAGE(B30:D30),(P30/12))</f>
        <v/>
      </c>
      <c r="F30" s="11">
        <f>AVERAGE(AVERAGE(B30:D30),(P30/12))</f>
        <v/>
      </c>
      <c r="G30" s="11">
        <f>AVERAGE(AVERAGE(B30:D30),(P30/12))</f>
        <v/>
      </c>
      <c r="H30" s="11">
        <f>AVERAGE(AVERAGE(B30:D30),(P30/12))</f>
        <v/>
      </c>
      <c r="I30" s="11">
        <f>AVERAGE(AVERAGE(B30:D30),(P30/12))</f>
        <v/>
      </c>
      <c r="J30" s="11">
        <f>AVERAGE(AVERAGE(B30:D30),(P30/12))</f>
        <v/>
      </c>
      <c r="K30" s="11">
        <f>AVERAGE(AVERAGE(B30:D30),(P30/12))</f>
        <v/>
      </c>
      <c r="L30" s="11">
        <f>AVERAGE(AVERAGE(B30:D30),(P30/12))</f>
        <v/>
      </c>
      <c r="M30" s="11">
        <f>AVERAGE(AVERAGE(B30:D30),(P30/12))</f>
        <v/>
      </c>
      <c r="N30" s="12">
        <f>SUM(B30:D30)</f>
        <v/>
      </c>
      <c r="O30" s="13">
        <f>SUM(B30:M30)</f>
        <v/>
      </c>
      <c r="P30" s="14" t="n">
        <v>693600</v>
      </c>
      <c r="Q30" s="14">
        <f>O30-P30</f>
        <v/>
      </c>
    </row>
    <row r="31">
      <c r="A31" s="9" t="inlineStr">
        <is>
          <t>Payroll Taxes</t>
        </is>
      </c>
      <c r="B31" s="10" t="n">
        <v>6268.5</v>
      </c>
      <c r="C31" s="10" t="n">
        <v>233.86</v>
      </c>
      <c r="D31" s="10" t="n">
        <v>3082.62</v>
      </c>
      <c r="E31" s="11">
        <f>AVERAGE(AVERAGE(B31:D31),(P31/12))</f>
        <v/>
      </c>
      <c r="F31" s="11">
        <f>AVERAGE(AVERAGE(B31:D31),(P31/12))</f>
        <v/>
      </c>
      <c r="G31" s="11">
        <f>AVERAGE(AVERAGE(B31:D31),(P31/12))</f>
        <v/>
      </c>
      <c r="H31" s="11">
        <f>AVERAGE(AVERAGE(B31:D31),(P31/12))</f>
        <v/>
      </c>
      <c r="I31" s="11">
        <f>AVERAGE(AVERAGE(B31:D31),(P31/12))</f>
        <v/>
      </c>
      <c r="J31" s="11">
        <f>AVERAGE(AVERAGE(B31:D31),(P31/12))</f>
        <v/>
      </c>
      <c r="K31" s="11">
        <f>AVERAGE(AVERAGE(B31:D31),(P31/12))</f>
        <v/>
      </c>
      <c r="L31" s="11">
        <f>AVERAGE(AVERAGE(B31:D31),(P31/12))</f>
        <v/>
      </c>
      <c r="M31" s="11">
        <f>AVERAGE(AVERAGE(B31:D31),(P31/12))</f>
        <v/>
      </c>
      <c r="N31" s="12">
        <f>SUM(B31:D31)</f>
        <v/>
      </c>
      <c r="O31" s="13">
        <f>SUM(B31:M31)</f>
        <v/>
      </c>
      <c r="P31" s="14" t="n">
        <v>75228</v>
      </c>
      <c r="Q31" s="14">
        <f>O31-P31</f>
        <v/>
      </c>
    </row>
    <row r="32">
      <c r="A32" s="9" t="inlineStr">
        <is>
          <t>Employee Benefits</t>
        </is>
      </c>
      <c r="B32" s="10" t="n">
        <v>3799.48</v>
      </c>
      <c r="C32" s="10" t="n">
        <v>3882.76</v>
      </c>
      <c r="D32" s="10" t="n">
        <v>3812.24</v>
      </c>
      <c r="E32" s="11">
        <f>AVERAGE(AVERAGE(B32:D32),(P32/12))</f>
        <v/>
      </c>
      <c r="F32" s="11">
        <f>AVERAGE(AVERAGE(B32:D32),(P32/12))</f>
        <v/>
      </c>
      <c r="G32" s="11">
        <f>AVERAGE(AVERAGE(B32:D32),(P32/12))</f>
        <v/>
      </c>
      <c r="H32" s="11">
        <f>AVERAGE(AVERAGE(B32:D32),(P32/12))</f>
        <v/>
      </c>
      <c r="I32" s="11">
        <f>AVERAGE(AVERAGE(B32:D32),(P32/12))</f>
        <v/>
      </c>
      <c r="J32" s="11">
        <f>AVERAGE(AVERAGE(B32:D32),(P32/12))</f>
        <v/>
      </c>
      <c r="K32" s="11">
        <f>AVERAGE(AVERAGE(B32:D32),(P32/12))</f>
        <v/>
      </c>
      <c r="L32" s="11">
        <f>AVERAGE(AVERAGE(B32:D32),(P32/12))</f>
        <v/>
      </c>
      <c r="M32" s="11">
        <f>AVERAGE(AVERAGE(B32:D32),(P32/12))</f>
        <v/>
      </c>
      <c r="N32" s="12">
        <f>SUM(B32:D32)</f>
        <v/>
      </c>
      <c r="O32" s="13">
        <f>SUM(B32:M32)</f>
        <v/>
      </c>
      <c r="P32" s="14" t="n">
        <v>34356</v>
      </c>
      <c r="Q32" s="14">
        <f>O32-P32</f>
        <v/>
      </c>
    </row>
    <row r="33">
      <c r="A33" s="9" t="inlineStr">
        <is>
          <t>Rent Expense</t>
        </is>
      </c>
      <c r="B33" s="10" t="n">
        <v>87671.78999999999</v>
      </c>
      <c r="C33" s="10" t="n">
        <v>91178.66</v>
      </c>
      <c r="D33" s="10" t="n">
        <v>91178.66</v>
      </c>
      <c r="E33" s="11">
        <f>AVERAGE(AVERAGE(B33:D33),(P33/12))</f>
        <v/>
      </c>
      <c r="F33" s="11">
        <f>AVERAGE(AVERAGE(B33:D33),(P33/12))</f>
        <v/>
      </c>
      <c r="G33" s="11">
        <f>AVERAGE(AVERAGE(B33:D33),(P33/12))</f>
        <v/>
      </c>
      <c r="H33" s="11">
        <f>AVERAGE(AVERAGE(B33:D33),(P33/12))</f>
        <v/>
      </c>
      <c r="I33" s="11">
        <f>AVERAGE(AVERAGE(B33:D33),(P33/12))</f>
        <v/>
      </c>
      <c r="J33" s="11">
        <f>AVERAGE(AVERAGE(B33:D33),(P33/12))</f>
        <v/>
      </c>
      <c r="K33" s="11">
        <f>AVERAGE(AVERAGE(B33:D33),(P33/12))</f>
        <v/>
      </c>
      <c r="L33" s="11">
        <f>AVERAGE(AVERAGE(B33:D33),(P33/12))</f>
        <v/>
      </c>
      <c r="M33" s="11">
        <f>AVERAGE(AVERAGE(B33:D33),(P33/12))</f>
        <v/>
      </c>
      <c r="N33" s="12">
        <f>SUM(B33:D33)</f>
        <v/>
      </c>
      <c r="O33" s="13">
        <f>SUM(B33:M33)</f>
        <v/>
      </c>
      <c r="P33" s="14" t="n">
        <v>1052064</v>
      </c>
      <c r="Q33" s="14">
        <f>O33-P33</f>
        <v/>
      </c>
    </row>
    <row r="34">
      <c r="A34" s="9" t="inlineStr">
        <is>
          <t>Rent Management Fee</t>
        </is>
      </c>
      <c r="B34" s="10" t="n">
        <v>16764.33</v>
      </c>
      <c r="C34" s="10" t="n">
        <v>16764.33</v>
      </c>
      <c r="D34" s="10" t="n">
        <v>16764.33</v>
      </c>
      <c r="E34" s="11">
        <f>AVERAGE(AVERAGE(B34:D34),(P34/12))</f>
        <v/>
      </c>
      <c r="F34" s="11">
        <f>AVERAGE(AVERAGE(B34:D34),(P34/12))</f>
        <v/>
      </c>
      <c r="G34" s="11">
        <f>AVERAGE(AVERAGE(B34:D34),(P34/12))</f>
        <v/>
      </c>
      <c r="H34" s="11">
        <f>AVERAGE(AVERAGE(B34:D34),(P34/12))</f>
        <v/>
      </c>
      <c r="I34" s="11">
        <f>AVERAGE(AVERAGE(B34:D34),(P34/12))</f>
        <v/>
      </c>
      <c r="J34" s="11">
        <f>AVERAGE(AVERAGE(B34:D34),(P34/12))</f>
        <v/>
      </c>
      <c r="K34" s="11">
        <f>AVERAGE(AVERAGE(B34:D34),(P34/12))</f>
        <v/>
      </c>
      <c r="L34" s="11">
        <f>AVERAGE(AVERAGE(B34:D34),(P34/12))</f>
        <v/>
      </c>
      <c r="M34" s="11">
        <f>AVERAGE(AVERAGE(B34:D34),(P34/12))</f>
        <v/>
      </c>
      <c r="N34" s="12">
        <f>SUM(B34:D34)</f>
        <v/>
      </c>
      <c r="O34" s="13">
        <f>SUM(B34:M34)</f>
        <v/>
      </c>
      <c r="P34" s="14" t="n">
        <v>201168</v>
      </c>
      <c r="Q34" s="14">
        <f>O34-P34</f>
        <v/>
      </c>
    </row>
    <row r="35">
      <c r="A35" s="9" t="inlineStr">
        <is>
          <t>Professional Fees - Legal</t>
        </is>
      </c>
      <c r="B35" s="10" t="n">
        <v>2059.2</v>
      </c>
      <c r="C35" s="10" t="n">
        <v>0</v>
      </c>
      <c r="D35" s="10" t="n">
        <v>0</v>
      </c>
      <c r="E35" s="11">
        <f>AVERAGE(AVERAGE(B35:D35),(P35/12))</f>
        <v/>
      </c>
      <c r="F35" s="11">
        <f>AVERAGE(AVERAGE(B35:D35),(P35/12))</f>
        <v/>
      </c>
      <c r="G35" s="11">
        <f>AVERAGE(AVERAGE(B35:D35),(P35/12))</f>
        <v/>
      </c>
      <c r="H35" s="11">
        <f>AVERAGE(AVERAGE(B35:D35),(P35/12))</f>
        <v/>
      </c>
      <c r="I35" s="11">
        <f>AVERAGE(AVERAGE(B35:D35),(P35/12))</f>
        <v/>
      </c>
      <c r="J35" s="11">
        <f>AVERAGE(AVERAGE(B35:D35),(P35/12))</f>
        <v/>
      </c>
      <c r="K35" s="11">
        <f>AVERAGE(AVERAGE(B35:D35),(P35/12))</f>
        <v/>
      </c>
      <c r="L35" s="11">
        <f>AVERAGE(AVERAGE(B35:D35),(P35/12))</f>
        <v/>
      </c>
      <c r="M35" s="11">
        <f>AVERAGE(AVERAGE(B35:D35),(P35/12))</f>
        <v/>
      </c>
      <c r="N35" s="12">
        <f>SUM(B35:D35)</f>
        <v/>
      </c>
      <c r="O35" s="13">
        <f>SUM(B35:M35)</f>
        <v/>
      </c>
      <c r="P35" s="14" t="n">
        <v>24708</v>
      </c>
      <c r="Q35" s="14">
        <f>O35-P35</f>
        <v/>
      </c>
    </row>
    <row r="36">
      <c r="A36" s="9" t="inlineStr">
        <is>
          <t>Professional Fees - Trucking</t>
        </is>
      </c>
      <c r="B36" s="10" t="n">
        <v>0</v>
      </c>
      <c r="C36" s="10" t="n">
        <v>1352.4</v>
      </c>
      <c r="D36" s="10" t="n">
        <v>6353.9</v>
      </c>
      <c r="E36" s="11">
        <f>AVERAGE(B36:D36)</f>
        <v/>
      </c>
      <c r="F36" s="11">
        <f>AVERAGE(B36:D36)</f>
        <v/>
      </c>
      <c r="G36" s="11">
        <f>AVERAGE(B36:D36)</f>
        <v/>
      </c>
      <c r="H36" s="11">
        <f>AVERAGE(B36:D36)</f>
        <v/>
      </c>
      <c r="I36" s="11">
        <f>AVERAGE(B36:D36)</f>
        <v/>
      </c>
      <c r="J36" s="11">
        <f>AVERAGE(B36:D36)</f>
        <v/>
      </c>
      <c r="K36" s="11">
        <f>AVERAGE(B36:D36)</f>
        <v/>
      </c>
      <c r="L36" s="11">
        <f>AVERAGE(B36:D36)</f>
        <v/>
      </c>
      <c r="M36" s="11">
        <f>AVERAGE(B36:D36)</f>
        <v/>
      </c>
      <c r="N36" s="12">
        <f>SUM(B36:D36)</f>
        <v/>
      </c>
      <c r="O36" s="13">
        <f>SUM(B36:M36)</f>
        <v/>
      </c>
      <c r="P36" s="14" t="n">
        <v>0</v>
      </c>
      <c r="Q36" s="14">
        <f>O36-P36</f>
        <v/>
      </c>
    </row>
    <row r="37">
      <c r="A37" s="9" t="inlineStr">
        <is>
          <t>Professional Fees - Other</t>
        </is>
      </c>
      <c r="B37" s="10" t="n">
        <v>547</v>
      </c>
      <c r="C37" s="10" t="n">
        <v>7</v>
      </c>
      <c r="D37" s="10" t="n">
        <v>3000</v>
      </c>
      <c r="E37" s="11">
        <f>AVERAGE(AVERAGE(B37:D37),(P37/12))</f>
        <v/>
      </c>
      <c r="F37" s="11">
        <f>AVERAGE(AVERAGE(B37:D37),(P37/12))</f>
        <v/>
      </c>
      <c r="G37" s="11">
        <f>AVERAGE(AVERAGE(B37:D37),(P37/12))</f>
        <v/>
      </c>
      <c r="H37" s="11">
        <f>AVERAGE(AVERAGE(B37:D37),(P37/12))</f>
        <v/>
      </c>
      <c r="I37" s="11">
        <f>AVERAGE(AVERAGE(B37:D37),(P37/12))</f>
        <v/>
      </c>
      <c r="J37" s="11">
        <f>AVERAGE(AVERAGE(B37:D37),(P37/12))</f>
        <v/>
      </c>
      <c r="K37" s="11">
        <f>AVERAGE(AVERAGE(B37:D37),(P37/12))</f>
        <v/>
      </c>
      <c r="L37" s="11">
        <f>AVERAGE(AVERAGE(B37:D37),(P37/12))</f>
        <v/>
      </c>
      <c r="M37" s="11">
        <f>AVERAGE(AVERAGE(B37:D37),(P37/12))</f>
        <v/>
      </c>
      <c r="N37" s="12">
        <f>SUM(B37:D37)</f>
        <v/>
      </c>
      <c r="O37" s="13">
        <f>SUM(B37:M37)</f>
        <v/>
      </c>
      <c r="P37" s="14" t="n">
        <v>6564</v>
      </c>
      <c r="Q37" s="14">
        <f>O37-P37</f>
        <v/>
      </c>
    </row>
    <row r="38">
      <c r="A38" s="9" t="inlineStr">
        <is>
          <t>Sales Commission</t>
        </is>
      </c>
      <c r="B38" s="10" t="n">
        <v>3000</v>
      </c>
      <c r="C38" s="10" t="n">
        <v>3000</v>
      </c>
      <c r="D38" s="10" t="n">
        <v>3000</v>
      </c>
      <c r="E38" s="11">
        <f>AVERAGE(AVERAGE(B38:D38),(P38/12))</f>
        <v/>
      </c>
      <c r="F38" s="11">
        <f>AVERAGE(AVERAGE(B38:D38),(P38/12))</f>
        <v/>
      </c>
      <c r="G38" s="11">
        <f>AVERAGE(AVERAGE(B38:D38),(P38/12))</f>
        <v/>
      </c>
      <c r="H38" s="11">
        <f>AVERAGE(AVERAGE(B38:D38),(P38/12))</f>
        <v/>
      </c>
      <c r="I38" s="11">
        <f>AVERAGE(AVERAGE(B38:D38),(P38/12))</f>
        <v/>
      </c>
      <c r="J38" s="11">
        <f>AVERAGE(AVERAGE(B38:D38),(P38/12))</f>
        <v/>
      </c>
      <c r="K38" s="11">
        <f>AVERAGE(AVERAGE(B38:D38),(P38/12))</f>
        <v/>
      </c>
      <c r="L38" s="11">
        <f>AVERAGE(AVERAGE(B38:D38),(P38/12))</f>
        <v/>
      </c>
      <c r="M38" s="11">
        <f>AVERAGE(AVERAGE(B38:D38),(P38/12))</f>
        <v/>
      </c>
      <c r="N38" s="12">
        <f>SUM(B38:D38)</f>
        <v/>
      </c>
      <c r="O38" s="13">
        <f>SUM(B38:M38)</f>
        <v/>
      </c>
      <c r="P38" s="14" t="n">
        <v>36000</v>
      </c>
      <c r="Q38" s="14">
        <f>O38-P38</f>
        <v/>
      </c>
    </row>
    <row r="39">
      <c r="A39" s="9" t="inlineStr">
        <is>
          <t>Sales Promotion</t>
        </is>
      </c>
      <c r="B39" s="10" t="n">
        <v>1069.32</v>
      </c>
      <c r="C39" s="10" t="n">
        <v>538.66</v>
      </c>
      <c r="D39" s="10" t="n">
        <v>559.5</v>
      </c>
      <c r="E39" s="11">
        <f>AVERAGE(AVERAGE(B39:D39),(P39/12))</f>
        <v/>
      </c>
      <c r="F39" s="11">
        <f>AVERAGE(AVERAGE(B39:D39),(P39/12))</f>
        <v/>
      </c>
      <c r="G39" s="11">
        <f>AVERAGE(AVERAGE(B39:D39),(P39/12))</f>
        <v/>
      </c>
      <c r="H39" s="11">
        <f>AVERAGE(AVERAGE(B39:D39),(P39/12))</f>
        <v/>
      </c>
      <c r="I39" s="11">
        <f>AVERAGE(AVERAGE(B39:D39),(P39/12))</f>
        <v/>
      </c>
      <c r="J39" s="11">
        <f>AVERAGE(AVERAGE(B39:D39),(P39/12))</f>
        <v/>
      </c>
      <c r="K39" s="11">
        <f>AVERAGE(AVERAGE(B39:D39),(P39/12))</f>
        <v/>
      </c>
      <c r="L39" s="11">
        <f>AVERAGE(AVERAGE(B39:D39),(P39/12))</f>
        <v/>
      </c>
      <c r="M39" s="11">
        <f>AVERAGE(AVERAGE(B39:D39),(P39/12))</f>
        <v/>
      </c>
      <c r="N39" s="12">
        <f>SUM(B39:D39)</f>
        <v/>
      </c>
      <c r="O39" s="13">
        <f>SUM(B39:M39)</f>
        <v/>
      </c>
      <c r="P39" s="14" t="n">
        <v>12828</v>
      </c>
      <c r="Q39" s="14">
        <f>O39-P39</f>
        <v/>
      </c>
    </row>
    <row r="40">
      <c r="A40" s="9" t="inlineStr">
        <is>
          <t>Office Expense</t>
        </is>
      </c>
      <c r="B40" s="10" t="n">
        <v>1402.08</v>
      </c>
      <c r="C40" s="10" t="n">
        <v>1186</v>
      </c>
      <c r="D40" s="10" t="n">
        <v>1139.78</v>
      </c>
      <c r="E40" s="11">
        <f>AVERAGE(AVERAGE(B40:D40),(P40/12))</f>
        <v/>
      </c>
      <c r="F40" s="11">
        <f>AVERAGE(AVERAGE(B40:D40),(P40/12))</f>
        <v/>
      </c>
      <c r="G40" s="11">
        <f>AVERAGE(AVERAGE(B40:D40),(P40/12))</f>
        <v/>
      </c>
      <c r="H40" s="11">
        <f>AVERAGE(AVERAGE(B40:D40),(P40/12))</f>
        <v/>
      </c>
      <c r="I40" s="11">
        <f>AVERAGE(AVERAGE(B40:D40),(P40/12))</f>
        <v/>
      </c>
      <c r="J40" s="11">
        <f>AVERAGE(AVERAGE(B40:D40),(P40/12))</f>
        <v/>
      </c>
      <c r="K40" s="11">
        <f>AVERAGE(AVERAGE(B40:D40),(P40/12))</f>
        <v/>
      </c>
      <c r="L40" s="11">
        <f>AVERAGE(AVERAGE(B40:D40),(P40/12))</f>
        <v/>
      </c>
      <c r="M40" s="11">
        <f>AVERAGE(AVERAGE(B40:D40),(P40/12))</f>
        <v/>
      </c>
      <c r="N40" s="12">
        <f>SUM(B40:D40)</f>
        <v/>
      </c>
      <c r="O40" s="13">
        <f>SUM(B40:M40)</f>
        <v/>
      </c>
      <c r="P40" s="14" t="n">
        <v>16824</v>
      </c>
      <c r="Q40" s="14">
        <f>O40-P40</f>
        <v/>
      </c>
    </row>
    <row r="41">
      <c r="A41" s="9" t="inlineStr">
        <is>
          <t>Office Supplies &amp; Printing</t>
        </is>
      </c>
      <c r="B41" s="10" t="n">
        <v>651.52</v>
      </c>
      <c r="C41" s="10" t="n">
        <v>306.86</v>
      </c>
      <c r="D41" s="10" t="n">
        <v>156.86</v>
      </c>
      <c r="E41" s="11">
        <f>AVERAGE(AVERAGE(B41:D41),(P41/12))</f>
        <v/>
      </c>
      <c r="F41" s="11">
        <f>AVERAGE(AVERAGE(B41:D41),(P41/12))</f>
        <v/>
      </c>
      <c r="G41" s="11">
        <f>AVERAGE(AVERAGE(B41:D41),(P41/12))</f>
        <v/>
      </c>
      <c r="H41" s="11">
        <f>AVERAGE(AVERAGE(B41:D41),(P41/12))</f>
        <v/>
      </c>
      <c r="I41" s="11">
        <f>AVERAGE(AVERAGE(B41:D41),(P41/12))</f>
        <v/>
      </c>
      <c r="J41" s="11">
        <f>AVERAGE(AVERAGE(B41:D41),(P41/12))</f>
        <v/>
      </c>
      <c r="K41" s="11">
        <f>AVERAGE(AVERAGE(B41:D41),(P41/12))</f>
        <v/>
      </c>
      <c r="L41" s="11">
        <f>AVERAGE(AVERAGE(B41:D41),(P41/12))</f>
        <v/>
      </c>
      <c r="M41" s="11">
        <f>AVERAGE(AVERAGE(B41:D41),(P41/12))</f>
        <v/>
      </c>
      <c r="N41" s="12">
        <f>SUM(B41:D41)</f>
        <v/>
      </c>
      <c r="O41" s="13">
        <f>SUM(B41:M41)</f>
        <v/>
      </c>
      <c r="P41" s="14" t="n">
        <v>7824</v>
      </c>
      <c r="Q41" s="14">
        <f>O41-P41</f>
        <v/>
      </c>
    </row>
    <row r="42">
      <c r="A42" s="9" t="inlineStr">
        <is>
          <t>Computer and Internet</t>
        </is>
      </c>
      <c r="B42" s="10" t="n">
        <v>1065.45</v>
      </c>
      <c r="C42" s="10" t="n">
        <v>824.73</v>
      </c>
      <c r="D42" s="10" t="n">
        <v>1043.01</v>
      </c>
      <c r="E42" s="11">
        <f>AVERAGE(AVERAGE(B42:D42),(P42/12))</f>
        <v/>
      </c>
      <c r="F42" s="11">
        <f>AVERAGE(AVERAGE(B42:D42),(P42/12))</f>
        <v/>
      </c>
      <c r="G42" s="11">
        <f>AVERAGE(AVERAGE(B42:D42),(P42/12))</f>
        <v/>
      </c>
      <c r="H42" s="11">
        <f>AVERAGE(AVERAGE(B42:D42),(P42/12))</f>
        <v/>
      </c>
      <c r="I42" s="11">
        <f>AVERAGE(AVERAGE(B42:D42),(P42/12))</f>
        <v/>
      </c>
      <c r="J42" s="11">
        <f>AVERAGE(AVERAGE(B42:D42),(P42/12))</f>
        <v/>
      </c>
      <c r="K42" s="11">
        <f>AVERAGE(AVERAGE(B42:D42),(P42/12))</f>
        <v/>
      </c>
      <c r="L42" s="11">
        <f>AVERAGE(AVERAGE(B42:D42),(P42/12))</f>
        <v/>
      </c>
      <c r="M42" s="11">
        <f>AVERAGE(AVERAGE(B42:D42),(P42/12))</f>
        <v/>
      </c>
      <c r="N42" s="12">
        <f>SUM(B42:D42)</f>
        <v/>
      </c>
      <c r="O42" s="13">
        <f>SUM(B42:M42)</f>
        <v/>
      </c>
      <c r="P42" s="14" t="n">
        <v>12780</v>
      </c>
      <c r="Q42" s="14">
        <f>O42-P42</f>
        <v/>
      </c>
    </row>
    <row r="43">
      <c r="A43" s="9" t="inlineStr">
        <is>
          <t>Telephone Expense</t>
        </is>
      </c>
      <c r="B43" s="10" t="n">
        <v>843.25</v>
      </c>
      <c r="C43" s="10" t="n">
        <v>920.65</v>
      </c>
      <c r="D43" s="10" t="n">
        <v>920.65</v>
      </c>
      <c r="E43" s="11">
        <f>AVERAGE(AVERAGE(B43:D43),(P43/12))</f>
        <v/>
      </c>
      <c r="F43" s="11">
        <f>AVERAGE(AVERAGE(B43:D43),(P43/12))</f>
        <v/>
      </c>
      <c r="G43" s="11">
        <f>AVERAGE(AVERAGE(B43:D43),(P43/12))</f>
        <v/>
      </c>
      <c r="H43" s="11">
        <f>AVERAGE(AVERAGE(B43:D43),(P43/12))</f>
        <v/>
      </c>
      <c r="I43" s="11">
        <f>AVERAGE(AVERAGE(B43:D43),(P43/12))</f>
        <v/>
      </c>
      <c r="J43" s="11">
        <f>AVERAGE(AVERAGE(B43:D43),(P43/12))</f>
        <v/>
      </c>
      <c r="K43" s="11">
        <f>AVERAGE(AVERAGE(B43:D43),(P43/12))</f>
        <v/>
      </c>
      <c r="L43" s="11">
        <f>AVERAGE(AVERAGE(B43:D43),(P43/12))</f>
        <v/>
      </c>
      <c r="M43" s="11">
        <f>AVERAGE(AVERAGE(B43:D43),(P43/12))</f>
        <v/>
      </c>
      <c r="N43" s="12">
        <f>SUM(B43:D43)</f>
        <v/>
      </c>
      <c r="O43" s="13">
        <f>SUM(B43:M43)</f>
        <v/>
      </c>
      <c r="P43" s="14" t="n">
        <v>10116</v>
      </c>
      <c r="Q43" s="14">
        <f>O43-P43</f>
        <v/>
      </c>
    </row>
    <row r="44">
      <c r="A44" s="9" t="inlineStr">
        <is>
          <t>Automobile Expense</t>
        </is>
      </c>
      <c r="B44" s="10" t="n">
        <v>1727.58</v>
      </c>
      <c r="C44" s="10" t="n">
        <v>1975.59</v>
      </c>
      <c r="D44" s="10" t="n">
        <v>5838.02</v>
      </c>
      <c r="E44" s="11">
        <f>AVERAGE(AVERAGE(B44:D44),(P44/12))</f>
        <v/>
      </c>
      <c r="F44" s="11">
        <f>AVERAGE(AVERAGE(B44:D44),(P44/12))</f>
        <v/>
      </c>
      <c r="G44" s="11">
        <f>AVERAGE(AVERAGE(B44:D44),(P44/12))</f>
        <v/>
      </c>
      <c r="H44" s="11">
        <f>AVERAGE(AVERAGE(B44:D44),(P44/12))</f>
        <v/>
      </c>
      <c r="I44" s="11">
        <f>AVERAGE(AVERAGE(B44:D44),(P44/12))</f>
        <v/>
      </c>
      <c r="J44" s="11">
        <f>AVERAGE(AVERAGE(B44:D44),(P44/12))</f>
        <v/>
      </c>
      <c r="K44" s="11">
        <f>AVERAGE(AVERAGE(B44:D44),(P44/12))</f>
        <v/>
      </c>
      <c r="L44" s="11">
        <f>AVERAGE(AVERAGE(B44:D44),(P44/12))</f>
        <v/>
      </c>
      <c r="M44" s="11">
        <f>AVERAGE(AVERAGE(B44:D44),(P44/12))</f>
        <v/>
      </c>
      <c r="N44" s="12">
        <f>SUM(B44:D44)</f>
        <v/>
      </c>
      <c r="O44" s="13">
        <f>SUM(B44:M44)</f>
        <v/>
      </c>
      <c r="P44" s="14" t="n">
        <v>20736</v>
      </c>
      <c r="Q44" s="14">
        <f>O44-P44</f>
        <v/>
      </c>
    </row>
    <row r="45">
      <c r="A45" s="9" t="inlineStr">
        <is>
          <t>Repairs - Computer</t>
        </is>
      </c>
      <c r="B45" s="10" t="n">
        <v>800</v>
      </c>
      <c r="C45" s="10" t="n">
        <v>800</v>
      </c>
      <c r="D45" s="10" t="n">
        <v>0</v>
      </c>
      <c r="E45" s="11">
        <f>AVERAGE(AVERAGE(B45:D45),(P45/12))</f>
        <v/>
      </c>
      <c r="F45" s="11">
        <f>AVERAGE(AVERAGE(B45:D45),(P45/12))</f>
        <v/>
      </c>
      <c r="G45" s="11">
        <f>AVERAGE(AVERAGE(B45:D45),(P45/12))</f>
        <v/>
      </c>
      <c r="H45" s="11">
        <f>AVERAGE(AVERAGE(B45:D45),(P45/12))</f>
        <v/>
      </c>
      <c r="I45" s="11">
        <f>AVERAGE(AVERAGE(B45:D45),(P45/12))</f>
        <v/>
      </c>
      <c r="J45" s="11">
        <f>AVERAGE(AVERAGE(B45:D45),(P45/12))</f>
        <v/>
      </c>
      <c r="K45" s="11">
        <f>AVERAGE(AVERAGE(B45:D45),(P45/12))</f>
        <v/>
      </c>
      <c r="L45" s="11">
        <f>AVERAGE(AVERAGE(B45:D45),(P45/12))</f>
        <v/>
      </c>
      <c r="M45" s="11">
        <f>AVERAGE(AVERAGE(B45:D45),(P45/12))</f>
        <v/>
      </c>
      <c r="N45" s="12">
        <f>SUM(B45:D45)</f>
        <v/>
      </c>
      <c r="O45" s="13">
        <f>SUM(B45:M45)</f>
        <v/>
      </c>
      <c r="P45" s="14" t="n">
        <v>9600</v>
      </c>
      <c r="Q45" s="14">
        <f>O45-P45</f>
        <v/>
      </c>
    </row>
    <row r="46">
      <c r="A46" s="9" t="inlineStr">
        <is>
          <t>Repairs - Equipment</t>
        </is>
      </c>
      <c r="B46" s="10" t="n">
        <v>38325.25</v>
      </c>
      <c r="C46" s="10" t="n">
        <v>2295</v>
      </c>
      <c r="D46" s="10" t="n">
        <v>1525</v>
      </c>
      <c r="E46" s="11">
        <f>AVERAGE(AVERAGE(B46:D46),(P46/12))</f>
        <v/>
      </c>
      <c r="F46" s="11">
        <f>AVERAGE(AVERAGE(B46:D46),(P46/12))</f>
        <v/>
      </c>
      <c r="G46" s="11">
        <f>AVERAGE(AVERAGE(B46:D46),(P46/12))</f>
        <v/>
      </c>
      <c r="H46" s="11">
        <f>AVERAGE(AVERAGE(B46:D46),(P46/12))</f>
        <v/>
      </c>
      <c r="I46" s="11">
        <f>AVERAGE(AVERAGE(B46:D46),(P46/12))</f>
        <v/>
      </c>
      <c r="J46" s="11">
        <f>AVERAGE(AVERAGE(B46:D46),(P46/12))</f>
        <v/>
      </c>
      <c r="K46" s="11">
        <f>AVERAGE(AVERAGE(B46:D46),(P46/12))</f>
        <v/>
      </c>
      <c r="L46" s="11">
        <f>AVERAGE(AVERAGE(B46:D46),(P46/12))</f>
        <v/>
      </c>
      <c r="M46" s="11">
        <f>AVERAGE(AVERAGE(B46:D46),(P46/12))</f>
        <v/>
      </c>
      <c r="N46" s="12">
        <f>SUM(B46:D46)</f>
        <v/>
      </c>
      <c r="O46" s="13">
        <f>SUM(B46:M46)</f>
        <v/>
      </c>
      <c r="P46" s="14" t="n">
        <v>457500</v>
      </c>
      <c r="Q46" s="14">
        <f>O46-P46</f>
        <v/>
      </c>
    </row>
    <row r="47">
      <c r="A47" s="9" t="inlineStr">
        <is>
          <t>Insurance - Health</t>
        </is>
      </c>
      <c r="B47" s="10" t="n">
        <v>3849.44</v>
      </c>
      <c r="C47" s="10" t="n">
        <v>5398.16</v>
      </c>
      <c r="D47" s="10" t="n">
        <v>5398.16</v>
      </c>
      <c r="E47" s="11">
        <f>AVERAGE(AVERAGE(B47:D47),(P47/12))</f>
        <v/>
      </c>
      <c r="F47" s="11">
        <f>AVERAGE(AVERAGE(B47:D47),(P47/12))</f>
        <v/>
      </c>
      <c r="G47" s="11">
        <f>AVERAGE(AVERAGE(B47:D47),(P47/12))</f>
        <v/>
      </c>
      <c r="H47" s="11">
        <f>AVERAGE(AVERAGE(B47:D47),(P47/12))</f>
        <v/>
      </c>
      <c r="I47" s="11">
        <f>AVERAGE(AVERAGE(B47:D47),(P47/12))</f>
        <v/>
      </c>
      <c r="J47" s="11">
        <f>AVERAGE(AVERAGE(B47:D47),(P47/12))</f>
        <v/>
      </c>
      <c r="K47" s="11">
        <f>AVERAGE(AVERAGE(B47:D47),(P47/12))</f>
        <v/>
      </c>
      <c r="L47" s="11">
        <f>AVERAGE(AVERAGE(B47:D47),(P47/12))</f>
        <v/>
      </c>
      <c r="M47" s="11">
        <f>AVERAGE(AVERAGE(B47:D47),(P47/12))</f>
        <v/>
      </c>
      <c r="N47" s="12">
        <f>SUM(B47:D47)</f>
        <v/>
      </c>
      <c r="O47" s="13">
        <f>SUM(B47:M47)</f>
        <v/>
      </c>
      <c r="P47" s="14" t="n">
        <v>46188</v>
      </c>
      <c r="Q47" s="14">
        <f>O47-P47</f>
        <v/>
      </c>
    </row>
    <row r="48">
      <c r="A48" s="9" t="inlineStr">
        <is>
          <t>Insurance - Truck</t>
        </is>
      </c>
      <c r="B48" s="10" t="n">
        <v>1923.62</v>
      </c>
      <c r="C48" s="10" t="n">
        <v>1923.61</v>
      </c>
      <c r="D48" s="10" t="n">
        <v>1923.62</v>
      </c>
      <c r="E48" s="11">
        <f>AVERAGE(AVERAGE(B48:D48),(P48/12))</f>
        <v/>
      </c>
      <c r="F48" s="11">
        <f>AVERAGE(AVERAGE(B48:D48),(P48/12))</f>
        <v/>
      </c>
      <c r="G48" s="11">
        <f>AVERAGE(AVERAGE(B48:D48),(P48/12))</f>
        <v/>
      </c>
      <c r="H48" s="11">
        <f>AVERAGE(AVERAGE(B48:D48),(P48/12))</f>
        <v/>
      </c>
      <c r="I48" s="11">
        <f>AVERAGE(AVERAGE(B48:D48),(P48/12))</f>
        <v/>
      </c>
      <c r="J48" s="11">
        <f>AVERAGE(AVERAGE(B48:D48),(P48/12))</f>
        <v/>
      </c>
      <c r="K48" s="11">
        <f>AVERAGE(AVERAGE(B48:D48),(P48/12))</f>
        <v/>
      </c>
      <c r="L48" s="11">
        <f>AVERAGE(AVERAGE(B48:D48),(P48/12))</f>
        <v/>
      </c>
      <c r="M48" s="11">
        <f>AVERAGE(AVERAGE(B48:D48),(P48/12))</f>
        <v/>
      </c>
      <c r="N48" s="12">
        <f>SUM(B48:D48)</f>
        <v/>
      </c>
      <c r="O48" s="13">
        <f>SUM(B48:M48)</f>
        <v/>
      </c>
      <c r="P48" s="14" t="n">
        <v>23088</v>
      </c>
      <c r="Q48" s="14">
        <f>O48-P48</f>
        <v/>
      </c>
    </row>
    <row r="49">
      <c r="A49" s="9" t="inlineStr">
        <is>
          <t>Insurance - Trade Credit</t>
        </is>
      </c>
      <c r="B49" s="10" t="n">
        <v>0</v>
      </c>
      <c r="C49" s="10" t="n">
        <v>0</v>
      </c>
      <c r="D49" s="10" t="n">
        <v>11840</v>
      </c>
      <c r="E49" s="11">
        <f>AVERAGE(B49:D49)</f>
        <v/>
      </c>
      <c r="F49" s="11">
        <f>AVERAGE(B49:D49)</f>
        <v/>
      </c>
      <c r="G49" s="11">
        <f>AVERAGE(B49:D49)</f>
        <v/>
      </c>
      <c r="H49" s="11">
        <f>AVERAGE(B49:D49)</f>
        <v/>
      </c>
      <c r="I49" s="11">
        <f>AVERAGE(B49:D49)</f>
        <v/>
      </c>
      <c r="J49" s="11">
        <f>AVERAGE(B49:D49)</f>
        <v/>
      </c>
      <c r="K49" s="11">
        <f>AVERAGE(B49:D49)</f>
        <v/>
      </c>
      <c r="L49" s="11">
        <f>AVERAGE(B49:D49)</f>
        <v/>
      </c>
      <c r="M49" s="11">
        <f>AVERAGE(B49:D49)</f>
        <v/>
      </c>
      <c r="N49" s="12">
        <f>SUM(B49:D49)</f>
        <v/>
      </c>
      <c r="O49" s="13">
        <f>SUM(B49:M49)</f>
        <v/>
      </c>
      <c r="P49" s="14" t="n">
        <v>0</v>
      </c>
      <c r="Q49" s="14">
        <f>O49-P49</f>
        <v/>
      </c>
    </row>
    <row r="50">
      <c r="A50" s="9" t="inlineStr">
        <is>
          <t>Licenses - Permits</t>
        </is>
      </c>
      <c r="B50" s="10" t="n">
        <v>600</v>
      </c>
      <c r="C50" s="10" t="n">
        <v>2112.73</v>
      </c>
      <c r="D50" s="10" t="n">
        <v>668.5</v>
      </c>
      <c r="E50" s="11">
        <f>AVERAGE(AVERAGE(B50:D50),(P50/12))</f>
        <v/>
      </c>
      <c r="F50" s="11">
        <f>AVERAGE(AVERAGE(B50:D50),(P50/12))</f>
        <v/>
      </c>
      <c r="G50" s="11">
        <f>AVERAGE(AVERAGE(B50:D50),(P50/12))</f>
        <v/>
      </c>
      <c r="H50" s="11">
        <f>AVERAGE(AVERAGE(B50:D50),(P50/12))</f>
        <v/>
      </c>
      <c r="I50" s="11">
        <f>AVERAGE(AVERAGE(B50:D50),(P50/12))</f>
        <v/>
      </c>
      <c r="J50" s="11">
        <f>AVERAGE(AVERAGE(B50:D50),(P50/12))</f>
        <v/>
      </c>
      <c r="K50" s="11">
        <f>AVERAGE(AVERAGE(B50:D50),(P50/12))</f>
        <v/>
      </c>
      <c r="L50" s="11">
        <f>AVERAGE(AVERAGE(B50:D50),(P50/12))</f>
        <v/>
      </c>
      <c r="M50" s="11">
        <f>AVERAGE(AVERAGE(B50:D50),(P50/12))</f>
        <v/>
      </c>
      <c r="N50" s="12">
        <f>SUM(B50:D50)</f>
        <v/>
      </c>
      <c r="O50" s="13">
        <f>SUM(B50:M50)</f>
        <v/>
      </c>
      <c r="P50" s="14" t="n">
        <v>7200</v>
      </c>
      <c r="Q50" s="14">
        <f>O50-P50</f>
        <v/>
      </c>
    </row>
    <row r="51">
      <c r="A51" s="9" t="inlineStr">
        <is>
          <t>Post Office Charge</t>
        </is>
      </c>
      <c r="B51" s="10" t="n">
        <v>348.7</v>
      </c>
      <c r="C51" s="10" t="n">
        <v>236.2</v>
      </c>
      <c r="D51" s="10" t="n">
        <v>330.15</v>
      </c>
      <c r="E51" s="11">
        <f>AVERAGE(AVERAGE(B51:D51),(P51/12))</f>
        <v/>
      </c>
      <c r="F51" s="11">
        <f>AVERAGE(AVERAGE(B51:D51),(P51/12))</f>
        <v/>
      </c>
      <c r="G51" s="11">
        <f>AVERAGE(AVERAGE(B51:D51),(P51/12))</f>
        <v/>
      </c>
      <c r="H51" s="11">
        <f>AVERAGE(AVERAGE(B51:D51),(P51/12))</f>
        <v/>
      </c>
      <c r="I51" s="11">
        <f>AVERAGE(AVERAGE(B51:D51),(P51/12))</f>
        <v/>
      </c>
      <c r="J51" s="11">
        <f>AVERAGE(AVERAGE(B51:D51),(P51/12))</f>
        <v/>
      </c>
      <c r="K51" s="11">
        <f>AVERAGE(AVERAGE(B51:D51),(P51/12))</f>
        <v/>
      </c>
      <c r="L51" s="11">
        <f>AVERAGE(AVERAGE(B51:D51),(P51/12))</f>
        <v/>
      </c>
      <c r="M51" s="11">
        <f>AVERAGE(AVERAGE(B51:D51),(P51/12))</f>
        <v/>
      </c>
      <c r="N51" s="12">
        <f>SUM(B51:D51)</f>
        <v/>
      </c>
      <c r="O51" s="13">
        <f>SUM(B51:M51)</f>
        <v/>
      </c>
      <c r="P51" s="14" t="n">
        <v>4188</v>
      </c>
      <c r="Q51" s="14">
        <f>O51-P51</f>
        <v/>
      </c>
    </row>
    <row r="52">
      <c r="A52" s="9" t="inlineStr">
        <is>
          <t>Equipment Rental</t>
        </is>
      </c>
      <c r="B52" s="10" t="n">
        <v>160.94</v>
      </c>
      <c r="C52" s="10" t="n">
        <v>49</v>
      </c>
      <c r="D52" s="10" t="n">
        <v>54.25</v>
      </c>
      <c r="E52" s="11">
        <f>AVERAGE(AVERAGE(B52:D52),(P52/12))</f>
        <v/>
      </c>
      <c r="F52" s="11">
        <f>AVERAGE(AVERAGE(B52:D52),(P52/12))</f>
        <v/>
      </c>
      <c r="G52" s="11">
        <f>AVERAGE(AVERAGE(B52:D52),(P52/12))</f>
        <v/>
      </c>
      <c r="H52" s="11">
        <f>AVERAGE(AVERAGE(B52:D52),(P52/12))</f>
        <v/>
      </c>
      <c r="I52" s="11">
        <f>AVERAGE(AVERAGE(B52:D52),(P52/12))</f>
        <v/>
      </c>
      <c r="J52" s="11">
        <f>AVERAGE(AVERAGE(B52:D52),(P52/12))</f>
        <v/>
      </c>
      <c r="K52" s="11">
        <f>AVERAGE(AVERAGE(B52:D52),(P52/12))</f>
        <v/>
      </c>
      <c r="L52" s="11">
        <f>AVERAGE(AVERAGE(B52:D52),(P52/12))</f>
        <v/>
      </c>
      <c r="M52" s="11">
        <f>AVERAGE(AVERAGE(B52:D52),(P52/12))</f>
        <v/>
      </c>
      <c r="N52" s="12">
        <f>SUM(B52:D52)</f>
        <v/>
      </c>
      <c r="O52" s="13">
        <f>SUM(B52:M52)</f>
        <v/>
      </c>
      <c r="P52" s="14" t="n">
        <v>1296</v>
      </c>
      <c r="Q52" s="14">
        <f>O52-P52</f>
        <v/>
      </c>
    </row>
    <row r="53">
      <c r="A53" s="9" t="inlineStr">
        <is>
          <t>Contract Labor</t>
        </is>
      </c>
      <c r="B53" s="10" t="n">
        <v>10000</v>
      </c>
      <c r="C53" s="10" t="n">
        <v>10000</v>
      </c>
      <c r="D53" s="10" t="n">
        <v>10000</v>
      </c>
      <c r="E53" s="11">
        <f>AVERAGE(AVERAGE(B53:D53),(P53/12))</f>
        <v/>
      </c>
      <c r="F53" s="11">
        <f>AVERAGE(AVERAGE(B53:D53),(P53/12))</f>
        <v/>
      </c>
      <c r="G53" s="11">
        <f>AVERAGE(AVERAGE(B53:D53),(P53/12))</f>
        <v/>
      </c>
      <c r="H53" s="11">
        <f>AVERAGE(AVERAGE(B53:D53),(P53/12))</f>
        <v/>
      </c>
      <c r="I53" s="11">
        <f>AVERAGE(AVERAGE(B53:D53),(P53/12))</f>
        <v/>
      </c>
      <c r="J53" s="11">
        <f>AVERAGE(AVERAGE(B53:D53),(P53/12))</f>
        <v/>
      </c>
      <c r="K53" s="11">
        <f>AVERAGE(AVERAGE(B53:D53),(P53/12))</f>
        <v/>
      </c>
      <c r="L53" s="11">
        <f>AVERAGE(AVERAGE(B53:D53),(P53/12))</f>
        <v/>
      </c>
      <c r="M53" s="11">
        <f>AVERAGE(AVERAGE(B53:D53),(P53/12))</f>
        <v/>
      </c>
      <c r="N53" s="12">
        <f>SUM(B53:D53)</f>
        <v/>
      </c>
      <c r="O53" s="13">
        <f>SUM(B53:M53)</f>
        <v/>
      </c>
      <c r="P53" s="14" t="n">
        <v>120000</v>
      </c>
      <c r="Q53" s="14">
        <f>O53-P53</f>
        <v/>
      </c>
    </row>
    <row r="54">
      <c r="A54" s="9" t="inlineStr">
        <is>
          <t>Outside Service</t>
        </is>
      </c>
      <c r="B54" s="10" t="n">
        <v>2700</v>
      </c>
      <c r="C54" s="10" t="n">
        <v>2700</v>
      </c>
      <c r="D54" s="10" t="n">
        <v>2700</v>
      </c>
      <c r="E54" s="11">
        <f>AVERAGE(AVERAGE(B54:D54),(P54/12))</f>
        <v/>
      </c>
      <c r="F54" s="11">
        <f>AVERAGE(AVERAGE(B54:D54),(P54/12))</f>
        <v/>
      </c>
      <c r="G54" s="11">
        <f>AVERAGE(AVERAGE(B54:D54),(P54/12))</f>
        <v/>
      </c>
      <c r="H54" s="11">
        <f>AVERAGE(AVERAGE(B54:D54),(P54/12))</f>
        <v/>
      </c>
      <c r="I54" s="11">
        <f>AVERAGE(AVERAGE(B54:D54),(P54/12))</f>
        <v/>
      </c>
      <c r="J54" s="11">
        <f>AVERAGE(AVERAGE(B54:D54),(P54/12))</f>
        <v/>
      </c>
      <c r="K54" s="11">
        <f>AVERAGE(AVERAGE(B54:D54),(P54/12))</f>
        <v/>
      </c>
      <c r="L54" s="11">
        <f>AVERAGE(AVERAGE(B54:D54),(P54/12))</f>
        <v/>
      </c>
      <c r="M54" s="11">
        <f>AVERAGE(AVERAGE(B54:D54),(P54/12))</f>
        <v/>
      </c>
      <c r="N54" s="12">
        <f>SUM(B54:D54)</f>
        <v/>
      </c>
      <c r="O54" s="13">
        <f>SUM(B54:M54)</f>
        <v/>
      </c>
      <c r="P54" s="14" t="n">
        <v>32400</v>
      </c>
      <c r="Q54" s="14">
        <f>O54-P54</f>
        <v/>
      </c>
    </row>
    <row r="55">
      <c r="A55" s="9" t="inlineStr">
        <is>
          <t>Bank Service Charges</t>
        </is>
      </c>
      <c r="B55" s="10" t="n">
        <v>320.77</v>
      </c>
      <c r="C55" s="10" t="n">
        <v>2113.62</v>
      </c>
      <c r="D55" s="10" t="n">
        <v>467.84</v>
      </c>
      <c r="E55" s="11">
        <f>AVERAGE(B55:D55)</f>
        <v/>
      </c>
      <c r="F55" s="11">
        <f>AVERAGE(B55:D55)</f>
        <v/>
      </c>
      <c r="G55" s="11">
        <f>AVERAGE(B55:D55)</f>
        <v/>
      </c>
      <c r="H55" s="11">
        <f>AVERAGE(B55:D55)</f>
        <v/>
      </c>
      <c r="I55" s="11">
        <f>AVERAGE(B55:D55)</f>
        <v/>
      </c>
      <c r="J55" s="11">
        <f>AVERAGE(B55:D55)</f>
        <v/>
      </c>
      <c r="K55" s="11">
        <f>AVERAGE(B55:D55)</f>
        <v/>
      </c>
      <c r="L55" s="11">
        <f>AVERAGE(B55:D55)</f>
        <v/>
      </c>
      <c r="M55" s="11">
        <f>AVERAGE(B55:D55)</f>
        <v/>
      </c>
      <c r="N55" s="12">
        <f>SUM(B55:D55)</f>
        <v/>
      </c>
      <c r="O55" s="13">
        <f>SUM(B55:M55)</f>
        <v/>
      </c>
      <c r="P55" s="14" t="n">
        <v>0</v>
      </c>
      <c r="Q55" s="14">
        <f>O55-P55</f>
        <v/>
      </c>
    </row>
    <row r="56">
      <c r="A56" s="9" t="inlineStr">
        <is>
          <t>Interest Expenses</t>
        </is>
      </c>
      <c r="B56" s="10" t="n">
        <v>8654.82</v>
      </c>
      <c r="C56" s="10" t="n">
        <v>14111.67</v>
      </c>
      <c r="D56" s="10" t="n">
        <v>14755.38</v>
      </c>
      <c r="E56" s="11">
        <f>AVERAGE(B56:D56)</f>
        <v/>
      </c>
      <c r="F56" s="11">
        <f>AVERAGE(B56:D56)</f>
        <v/>
      </c>
      <c r="G56" s="11">
        <f>AVERAGE(B56:D56)</f>
        <v/>
      </c>
      <c r="H56" s="11">
        <f>AVERAGE(B56:D56)</f>
        <v/>
      </c>
      <c r="I56" s="11">
        <f>AVERAGE(B56:D56)</f>
        <v/>
      </c>
      <c r="J56" s="11">
        <f>AVERAGE(B56:D56)</f>
        <v/>
      </c>
      <c r="K56" s="11">
        <f>AVERAGE(B56:D56)</f>
        <v/>
      </c>
      <c r="L56" s="11">
        <f>AVERAGE(B56:D56)</f>
        <v/>
      </c>
      <c r="M56" s="11">
        <f>AVERAGE(B56:D56)</f>
        <v/>
      </c>
      <c r="N56" s="12">
        <f>SUM(B56:D56)</f>
        <v/>
      </c>
      <c r="O56" s="13">
        <f>SUM(B56:M56)</f>
        <v/>
      </c>
      <c r="P56" s="14" t="n">
        <v>0</v>
      </c>
      <c r="Q56" s="14">
        <f>O56-P56</f>
        <v/>
      </c>
    </row>
    <row r="57">
      <c r="A57" s="9" t="inlineStr">
        <is>
          <t>Travel</t>
        </is>
      </c>
      <c r="B57" s="10" t="n">
        <v>0</v>
      </c>
      <c r="C57" s="10" t="n">
        <v>3188.83</v>
      </c>
      <c r="D57" s="10" t="n">
        <v>42.2</v>
      </c>
      <c r="E57" s="11">
        <f>AVERAGE(B57:D57)</f>
        <v/>
      </c>
      <c r="F57" s="11">
        <f>AVERAGE(B57:D57)</f>
        <v/>
      </c>
      <c r="G57" s="11">
        <f>AVERAGE(B57:D57)</f>
        <v/>
      </c>
      <c r="H57" s="11">
        <f>AVERAGE(B57:D57)</f>
        <v/>
      </c>
      <c r="I57" s="11">
        <f>AVERAGE(B57:D57)</f>
        <v/>
      </c>
      <c r="J57" s="11">
        <f>AVERAGE(B57:D57)</f>
        <v/>
      </c>
      <c r="K57" s="11">
        <f>AVERAGE(B57:D57)</f>
        <v/>
      </c>
      <c r="L57" s="11">
        <f>AVERAGE(B57:D57)</f>
        <v/>
      </c>
      <c r="M57" s="11">
        <f>AVERAGE(B57:D57)</f>
        <v/>
      </c>
      <c r="N57" s="12">
        <f>SUM(B57:D57)</f>
        <v/>
      </c>
      <c r="O57" s="13">
        <f>SUM(B57:M57)</f>
        <v/>
      </c>
      <c r="P57" s="14" t="n">
        <v>0</v>
      </c>
      <c r="Q57" s="14">
        <f>O57-P57</f>
        <v/>
      </c>
    </row>
    <row r="58">
      <c r="A58" s="9" t="inlineStr">
        <is>
          <t>Waste Disposal</t>
        </is>
      </c>
      <c r="B58" s="10" t="n">
        <v>2169.94</v>
      </c>
      <c r="C58" s="10" t="n">
        <v>3537.67</v>
      </c>
      <c r="D58" s="10" t="n">
        <v>3787.43</v>
      </c>
      <c r="E58" s="11">
        <f>AVERAGE(B58:D58)</f>
        <v/>
      </c>
      <c r="F58" s="11">
        <f>AVERAGE(B58:D58)</f>
        <v/>
      </c>
      <c r="G58" s="11">
        <f>AVERAGE(B58:D58)</f>
        <v/>
      </c>
      <c r="H58" s="11">
        <f>AVERAGE(B58:D58)</f>
        <v/>
      </c>
      <c r="I58" s="11">
        <f>AVERAGE(B58:D58)</f>
        <v/>
      </c>
      <c r="J58" s="11">
        <f>AVERAGE(B58:D58)</f>
        <v/>
      </c>
      <c r="K58" s="11">
        <f>AVERAGE(B58:D58)</f>
        <v/>
      </c>
      <c r="L58" s="11">
        <f>AVERAGE(B58:D58)</f>
        <v/>
      </c>
      <c r="M58" s="11">
        <f>AVERAGE(B58:D58)</f>
        <v/>
      </c>
      <c r="N58" s="12">
        <f>SUM(B58:D58)</f>
        <v/>
      </c>
      <c r="O58" s="13">
        <f>SUM(B58:M58)</f>
        <v/>
      </c>
      <c r="P58" s="14" t="n">
        <v>0</v>
      </c>
      <c r="Q58" s="14">
        <f>O58-P58</f>
        <v/>
      </c>
    </row>
    <row r="59">
      <c r="A59" s="9" t="inlineStr">
        <is>
          <t>Donations</t>
        </is>
      </c>
      <c r="B59" s="10" t="n">
        <v>0</v>
      </c>
      <c r="C59" s="10" t="n">
        <v>42</v>
      </c>
      <c r="D59" s="10" t="n">
        <v>0</v>
      </c>
      <c r="E59" s="11">
        <f>AVERAGE(B59:D59)</f>
        <v/>
      </c>
      <c r="F59" s="11">
        <f>AVERAGE(B59:D59)</f>
        <v/>
      </c>
      <c r="G59" s="11">
        <f>AVERAGE(B59:D59)</f>
        <v/>
      </c>
      <c r="H59" s="11">
        <f>AVERAGE(B59:D59)</f>
        <v/>
      </c>
      <c r="I59" s="11">
        <f>AVERAGE(B59:D59)</f>
        <v/>
      </c>
      <c r="J59" s="11">
        <f>AVERAGE(B59:D59)</f>
        <v/>
      </c>
      <c r="K59" s="11">
        <f>AVERAGE(B59:D59)</f>
        <v/>
      </c>
      <c r="L59" s="11">
        <f>AVERAGE(B59:D59)</f>
        <v/>
      </c>
      <c r="M59" s="11">
        <f>AVERAGE(B59:D59)</f>
        <v/>
      </c>
      <c r="N59" s="12">
        <f>SUM(B59:D59)</f>
        <v/>
      </c>
      <c r="O59" s="13">
        <f>SUM(B59:M59)</f>
        <v/>
      </c>
      <c r="P59" s="14" t="n">
        <v>0</v>
      </c>
      <c r="Q59" s="14">
        <f>O59-P59</f>
        <v/>
      </c>
    </row>
    <row r="60">
      <c r="A60" s="9" t="inlineStr">
        <is>
          <t>Medical Expense &amp; Supplies</t>
        </is>
      </c>
      <c r="B60" s="10" t="n">
        <v>0</v>
      </c>
      <c r="C60" s="10" t="n">
        <v>11.11</v>
      </c>
      <c r="D60" s="10" t="n">
        <v>0</v>
      </c>
      <c r="E60" s="11">
        <f>AVERAGE(B60:D60)</f>
        <v/>
      </c>
      <c r="F60" s="11">
        <f>AVERAGE(B60:D60)</f>
        <v/>
      </c>
      <c r="G60" s="11">
        <f>AVERAGE(B60:D60)</f>
        <v/>
      </c>
      <c r="H60" s="11">
        <f>AVERAGE(B60:D60)</f>
        <v/>
      </c>
      <c r="I60" s="11">
        <f>AVERAGE(B60:D60)</f>
        <v/>
      </c>
      <c r="J60" s="11">
        <f>AVERAGE(B60:D60)</f>
        <v/>
      </c>
      <c r="K60" s="11">
        <f>AVERAGE(B60:D60)</f>
        <v/>
      </c>
      <c r="L60" s="11">
        <f>AVERAGE(B60:D60)</f>
        <v/>
      </c>
      <c r="M60" s="11">
        <f>AVERAGE(B60:D60)</f>
        <v/>
      </c>
      <c r="N60" s="12">
        <f>SUM(B60:D60)</f>
        <v/>
      </c>
      <c r="O60" s="13">
        <f>SUM(B60:M60)</f>
        <v/>
      </c>
      <c r="P60" s="14" t="n">
        <v>0</v>
      </c>
      <c r="Q60" s="14">
        <f>O60-P60</f>
        <v/>
      </c>
    </row>
    <row r="61">
      <c r="A61" s="15" t="inlineStr">
        <is>
          <t>Total Operating Expenses</t>
        </is>
      </c>
      <c r="B61" s="16">
        <f>SUM(B30,B31,B32,B33,B34,B35,B36,B37,B38,B39,B40,B41,B42,B43,B44,B45,B46,B47,B48,B49,B50,B51,B52,B53,B54,B55,B56,B57,B58,B59,B60)</f>
        <v/>
      </c>
      <c r="C61" s="16">
        <f>SUM(C30,C31,C32,C33,C34,C35,C36,C37,C38,C39,C40,C41,C42,C43,C44,C45,C46,C47,C48,C49,C50,C51,C52,C53,C54,C55,C56,C57,C58,C59,C60)</f>
        <v/>
      </c>
      <c r="D61" s="16">
        <f>SUM(D30,D31,D32,D33,D34,D35,D36,D37,D38,D39,D40,D41,D42,D43,D44,D45,D46,D47,D48,D49,D50,D51,D52,D53,D54,D55,D56,D57,D58,D59,D60)</f>
        <v/>
      </c>
      <c r="E61" s="16">
        <f>SUM(E30,E31,E32,E33,E34,E35,E36,E37,E38,E39,E40,E41,E42,E43,E44,E45,E46,E47,E48,E49,E50,E51,E52,E53,E54,E55,E56,E57,E58,E59,E60)</f>
        <v/>
      </c>
      <c r="F61" s="16">
        <f>SUM(F30,F31,F32,F33,F34,F35,F36,F37,F38,F39,F40,F41,F42,F43,F44,F45,F46,F47,F48,F49,F50,F51,F52,F53,F54,F55,F56,F57,F58,F59,F60)</f>
        <v/>
      </c>
      <c r="G61" s="16">
        <f>SUM(G30,G31,G32,G33,G34,G35,G36,G37,G38,G39,G40,G41,G42,G43,G44,G45,G46,G47,G48,G49,G50,G51,G52,G53,G54,G55,G56,G57,G58,G59,G60)</f>
        <v/>
      </c>
      <c r="H61" s="16">
        <f>SUM(H30,H31,H32,H33,H34,H35,H36,H37,H38,H39,H40,H41,H42,H43,H44,H45,H46,H47,H48,H49,H50,H51,H52,H53,H54,H55,H56,H57,H58,H59,H60)</f>
        <v/>
      </c>
      <c r="I61" s="16">
        <f>SUM(I30,I31,I32,I33,I34,I35,I36,I37,I38,I39,I40,I41,I42,I43,I44,I45,I46,I47,I48,I49,I50,I51,I52,I53,I54,I55,I56,I57,I58,I59,I60)</f>
        <v/>
      </c>
      <c r="J61" s="16">
        <f>SUM(J30,J31,J32,J33,J34,J35,J36,J37,J38,J39,J40,J41,J42,J43,J44,J45,J46,J47,J48,J49,J50,J51,J52,J53,J54,J55,J56,J57,J58,J59,J60)</f>
        <v/>
      </c>
      <c r="K61" s="16">
        <f>SUM(K30,K31,K32,K33,K34,K35,K36,K37,K38,K39,K40,K41,K42,K43,K44,K45,K46,K47,K48,K49,K50,K51,K52,K53,K54,K55,K56,K57,K58,K59,K60)</f>
        <v/>
      </c>
      <c r="L61" s="16">
        <f>SUM(L30,L31,L32,L33,L34,L35,L36,L37,L38,L39,L40,L41,L42,L43,L44,L45,L46,L47,L48,L49,L50,L51,L52,L53,L54,L55,L56,L57,L58,L59,L60)</f>
        <v/>
      </c>
      <c r="M61" s="16">
        <f>SUM(M30,M31,M32,M33,M34,M35,M36,M37,M38,M39,M40,M41,M42,M43,M44,M45,M46,M47,M48,M49,M50,M51,M52,M53,M54,M55,M56,M57,M58,M59,M60)</f>
        <v/>
      </c>
      <c r="N61" s="16">
        <f>SUM(N30,N31,N32,N33,N34,N35,N36,N37,N38,N39,N40,N41,N42,N43,N44,N45,N46,N47,N48,N49,N50,N51,N52,N53,N54,N55,N56,N57,N58,N59,N60)</f>
        <v/>
      </c>
      <c r="O61" s="16">
        <f>SUM(O30,O31,O32,O33,O34,O35,O36,O37,O38,O39,O40,O41,O42,O43,O44,O45,O46,O47,O48,O49,O50,O51,O52,O53,O54,O55,O56,O57,O58,O59,O60)</f>
        <v/>
      </c>
      <c r="P61" s="16">
        <f>SUM(P30,P31,P32,P33,P34,P35,P36,P37,P38,P39,P40,P41,P42,P43,P44,P45,P46,P47,P48,P49,P50,P51,P52,P53,P54,P55,P56,P57,P58,P59,P60)</f>
        <v/>
      </c>
      <c r="Q61" s="16">
        <f>SUM(Q30,Q31,Q32,Q33,Q34,Q35,Q36,Q37,Q38,Q39,Q40,Q41,Q42,Q43,Q44,Q45,Q46,Q47,Q48,Q49,Q50,Q51,Q52,Q53,Q54,Q55,Q56,Q57,Q58,Q59,Q60)</f>
        <v/>
      </c>
    </row>
    <row r="63">
      <c r="A63" s="19" t="inlineStr">
        <is>
          <t>NET ORDINARY INCOME</t>
        </is>
      </c>
      <c r="B63" s="20">
        <f>B27-B61</f>
        <v/>
      </c>
      <c r="C63" s="20">
        <f>C27-C61</f>
        <v/>
      </c>
      <c r="D63" s="20">
        <f>D27-D61</f>
        <v/>
      </c>
      <c r="E63" s="20">
        <f>E27-E61</f>
        <v/>
      </c>
      <c r="F63" s="20">
        <f>F27-F61</f>
        <v/>
      </c>
      <c r="G63" s="20">
        <f>G27-G61</f>
        <v/>
      </c>
      <c r="H63" s="20">
        <f>H27-H61</f>
        <v/>
      </c>
      <c r="I63" s="20">
        <f>I27-I61</f>
        <v/>
      </c>
      <c r="J63" s="20">
        <f>J27-J61</f>
        <v/>
      </c>
      <c r="K63" s="20">
        <f>K27-K61</f>
        <v/>
      </c>
      <c r="L63" s="20">
        <f>L27-L61</f>
        <v/>
      </c>
      <c r="M63" s="20">
        <f>M27-M61</f>
        <v/>
      </c>
      <c r="N63" s="20">
        <f>N27-N61</f>
        <v/>
      </c>
      <c r="O63" s="20">
        <f>O27-O61</f>
        <v/>
      </c>
      <c r="P63" s="20">
        <f>P27-P61</f>
        <v/>
      </c>
      <c r="Q63" s="20">
        <f>Q27-Q61</f>
        <v/>
      </c>
    </row>
    <row r="64">
      <c r="A64" s="9" t="inlineStr">
        <is>
          <t>Other Income (Refunds)</t>
        </is>
      </c>
      <c r="B64" s="10" t="n">
        <v>0</v>
      </c>
      <c r="C64" s="10" t="n">
        <v>3808</v>
      </c>
      <c r="D64" s="10" t="n">
        <v>0</v>
      </c>
      <c r="E64" s="11">
        <f>AVERAGE(B64:D64)</f>
        <v/>
      </c>
      <c r="F64" s="11">
        <f>AVERAGE(B64:D64)</f>
        <v/>
      </c>
      <c r="G64" s="11">
        <f>AVERAGE(B64:D64)</f>
        <v/>
      </c>
      <c r="H64" s="11">
        <f>AVERAGE(B64:D64)</f>
        <v/>
      </c>
      <c r="I64" s="11">
        <f>AVERAGE(B64:D64)</f>
        <v/>
      </c>
      <c r="J64" s="11">
        <f>AVERAGE(B64:D64)</f>
        <v/>
      </c>
      <c r="K64" s="11">
        <f>AVERAGE(B64:D64)</f>
        <v/>
      </c>
      <c r="L64" s="11">
        <f>AVERAGE(B64:D64)</f>
        <v/>
      </c>
      <c r="M64" s="11">
        <f>AVERAGE(B64:D64)</f>
        <v/>
      </c>
      <c r="N64" s="12">
        <f>SUM(B64:D64)</f>
        <v/>
      </c>
      <c r="O64" s="13">
        <f>SUM(B64:M64)</f>
        <v/>
      </c>
      <c r="P64" s="14" t="n">
        <v>0</v>
      </c>
      <c r="Q64" s="14">
        <f>O64-P64</f>
        <v/>
      </c>
    </row>
    <row r="65">
      <c r="A65" s="19" t="inlineStr">
        <is>
          <t>NET INCOME (Final)</t>
        </is>
      </c>
      <c r="B65" s="20">
        <f>B63+B64</f>
        <v/>
      </c>
      <c r="C65" s="20">
        <f>C63+C64</f>
        <v/>
      </c>
      <c r="D65" s="20">
        <f>D63+D64</f>
        <v/>
      </c>
      <c r="E65" s="20">
        <f>E63+E64</f>
        <v/>
      </c>
      <c r="F65" s="20">
        <f>F63+F64</f>
        <v/>
      </c>
      <c r="G65" s="20">
        <f>G63+G64</f>
        <v/>
      </c>
      <c r="H65" s="20">
        <f>H63+H64</f>
        <v/>
      </c>
      <c r="I65" s="20">
        <f>I63+I64</f>
        <v/>
      </c>
      <c r="J65" s="20">
        <f>J63+J64</f>
        <v/>
      </c>
      <c r="K65" s="20">
        <f>K63+K64</f>
        <v/>
      </c>
      <c r="L65" s="20">
        <f>L63+L64</f>
        <v/>
      </c>
      <c r="M65" s="20">
        <f>M63+M64</f>
        <v/>
      </c>
      <c r="N65" s="20">
        <f>N63+N64</f>
        <v/>
      </c>
      <c r="O65" s="20">
        <f>O63+O64</f>
        <v/>
      </c>
      <c r="P65" s="20">
        <f>P63+P64</f>
        <v/>
      </c>
      <c r="Q65" s="20">
        <f>Q63+Q64</f>
        <v/>
      </c>
    </row>
    <row r="68">
      <c r="A68" s="21" t="inlineStr">
        <is>
          <t>KEY METRICS</t>
        </is>
      </c>
    </row>
    <row r="69">
      <c r="A69" s="22" t="inlineStr">
        <is>
          <t>Gross Margin %</t>
        </is>
      </c>
      <c r="B69" s="23">
        <f>IFERROR(B27/B6,0)</f>
        <v/>
      </c>
      <c r="C69" s="23">
        <f>IFERROR(C27/C6,0)</f>
        <v/>
      </c>
      <c r="D69" s="23">
        <f>IFERROR(D27/D6,0)</f>
        <v/>
      </c>
      <c r="E69" s="23">
        <f>IFERROR(E27/E6,0)</f>
        <v/>
      </c>
      <c r="F69" s="23">
        <f>IFERROR(F27/F6,0)</f>
        <v/>
      </c>
      <c r="G69" s="23">
        <f>IFERROR(G27/G6,0)</f>
        <v/>
      </c>
      <c r="H69" s="23">
        <f>IFERROR(H27/H6,0)</f>
        <v/>
      </c>
      <c r="I69" s="23">
        <f>IFERROR(I27/I6,0)</f>
        <v/>
      </c>
      <c r="J69" s="23">
        <f>IFERROR(J27/J6,0)</f>
        <v/>
      </c>
      <c r="K69" s="23">
        <f>IFERROR(K27/K6,0)</f>
        <v/>
      </c>
      <c r="L69" s="23">
        <f>IFERROR(L27/L6,0)</f>
        <v/>
      </c>
      <c r="M69" s="23">
        <f>IFERROR(M27/M6,0)</f>
        <v/>
      </c>
      <c r="N69" s="23">
        <f>IFERROR(N27/N6,0)</f>
        <v/>
      </c>
      <c r="O69" s="23">
        <f>IFERROR(O27/O6,0)</f>
        <v/>
      </c>
      <c r="P69" s="23">
        <f>IFERROR(P27/P6,0)</f>
        <v/>
      </c>
      <c r="Q69" s="23">
        <f>IFERROR(Q27/Q6,0)</f>
        <v/>
      </c>
    </row>
    <row r="70">
      <c r="A70" s="22" t="inlineStr">
        <is>
          <t>Operating Margin %</t>
        </is>
      </c>
      <c r="B70" s="23">
        <f>IFERROR(B63/B6,0)</f>
        <v/>
      </c>
      <c r="C70" s="23">
        <f>IFERROR(C63/C6,0)</f>
        <v/>
      </c>
      <c r="D70" s="23">
        <f>IFERROR(D63/D6,0)</f>
        <v/>
      </c>
      <c r="E70" s="23">
        <f>IFERROR(E63/E6,0)</f>
        <v/>
      </c>
      <c r="F70" s="23">
        <f>IFERROR(F63/F6,0)</f>
        <v/>
      </c>
      <c r="G70" s="23">
        <f>IFERROR(G63/G6,0)</f>
        <v/>
      </c>
      <c r="H70" s="23">
        <f>IFERROR(H63/H6,0)</f>
        <v/>
      </c>
      <c r="I70" s="23">
        <f>IFERROR(I63/I6,0)</f>
        <v/>
      </c>
      <c r="J70" s="23">
        <f>IFERROR(J63/J6,0)</f>
        <v/>
      </c>
      <c r="K70" s="23">
        <f>IFERROR(K63/K6,0)</f>
        <v/>
      </c>
      <c r="L70" s="23">
        <f>IFERROR(L63/L6,0)</f>
        <v/>
      </c>
      <c r="M70" s="23">
        <f>IFERROR(M63/M6,0)</f>
        <v/>
      </c>
      <c r="N70" s="23">
        <f>IFERROR(N63/N6,0)</f>
        <v/>
      </c>
      <c r="O70" s="23">
        <f>IFERROR(O63/O6,0)</f>
        <v/>
      </c>
      <c r="P70" s="23">
        <f>IFERROR(P63/P6,0)</f>
        <v/>
      </c>
      <c r="Q70" s="23">
        <f>IFERROR(Q63/Q6,0)</f>
        <v/>
      </c>
    </row>
    <row r="71">
      <c r="A71" s="22" t="inlineStr">
        <is>
          <t>Net Margin %</t>
        </is>
      </c>
      <c r="B71" s="23">
        <f>IFERROR(B65/B6,0)</f>
        <v/>
      </c>
      <c r="C71" s="23">
        <f>IFERROR(C65/C6,0)</f>
        <v/>
      </c>
      <c r="D71" s="23">
        <f>IFERROR(D65/D6,0)</f>
        <v/>
      </c>
      <c r="E71" s="23">
        <f>IFERROR(E65/E6,0)</f>
        <v/>
      </c>
      <c r="F71" s="23">
        <f>IFERROR(F65/F6,0)</f>
        <v/>
      </c>
      <c r="G71" s="23">
        <f>IFERROR(G65/G6,0)</f>
        <v/>
      </c>
      <c r="H71" s="23">
        <f>IFERROR(H65/H6,0)</f>
        <v/>
      </c>
      <c r="I71" s="23">
        <f>IFERROR(I65/I6,0)</f>
        <v/>
      </c>
      <c r="J71" s="23">
        <f>IFERROR(J65/J6,0)</f>
        <v/>
      </c>
      <c r="K71" s="23">
        <f>IFERROR(K65/K6,0)</f>
        <v/>
      </c>
      <c r="L71" s="23">
        <f>IFERROR(L65/L6,0)</f>
        <v/>
      </c>
      <c r="M71" s="23">
        <f>IFERROR(M65/M6,0)</f>
        <v/>
      </c>
      <c r="N71" s="23">
        <f>IFERROR(N65/N6,0)</f>
        <v/>
      </c>
      <c r="O71" s="23">
        <f>IFERROR(O65/O6,0)</f>
        <v/>
      </c>
      <c r="P71" s="23">
        <f>IFERROR(P65/P6,0)</f>
        <v/>
      </c>
      <c r="Q71" s="23">
        <f>IFERROR(Q65/Q6,0)</f>
        <v/>
      </c>
    </row>
  </sheetData>
  <mergeCells count="3">
    <mergeCell ref="A68:Q68"/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2026-04-16T22:37:53Z</dcterms:created>
  <dcterms:modified xmlns:dcterms="http://purl.org/dc/terms/" xmlns:xsi="http://www.w3.org/2001/XMLSchema-instance" xsi:type="dcterms:W3CDTF">2026-04-16T22:37:53Z</dcterms:modified>
</cp:coreProperties>
</file>